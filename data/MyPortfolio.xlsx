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68878000</v>
      </c>
      <c r="K2" s="12" t="n">
        <v>0</v>
      </c>
      <c r="L2" s="12" t="n">
        <v>69274000</v>
      </c>
      <c r="M2" s="12" t="n">
        <v>0</v>
      </c>
      <c r="N2" s="13" t="n">
        <v>-0.005716430406790427</v>
      </c>
      <c r="O2" s="13" t="n">
        <v>-0.01536376716224808</v>
      </c>
      <c r="P2" s="13" t="n">
        <v>0.4636435336206453</v>
      </c>
      <c r="Q2" s="13" t="n">
        <v>0.1313174449353676</v>
      </c>
      <c r="R2" s="13" t="n">
        <v>-0.4994452582757648</v>
      </c>
      <c r="S2" s="13" t="n">
        <v>-0.01056884600081898</v>
      </c>
      <c r="T2" s="14">
        <f>(-0.4994452582757648 - 0.04) / (STDEVP(N2:N152) * SQRT(252))</f>
        <v/>
      </c>
      <c r="U2" s="13" t="n">
        <v>-0.6209609148329583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69274000</v>
      </c>
      <c r="K3" s="12" t="n">
        <v>0</v>
      </c>
      <c r="L3" s="12" t="n">
        <v>69042000</v>
      </c>
      <c r="M3" s="12" t="n">
        <v>0</v>
      </c>
      <c r="N3" s="13" t="n">
        <v>0.003360273456736479</v>
      </c>
      <c r="O3" s="13" t="n">
        <v>0.01114801427757817</v>
      </c>
      <c r="P3" s="13" t="n">
        <v>0.4720584533237981</v>
      </c>
      <c r="Q3" s="15" t="n"/>
      <c r="R3" s="15" t="n"/>
      <c r="S3" s="15" t="n"/>
      <c r="T3" s="16" t="n"/>
      <c r="U3" s="15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69042000</v>
      </c>
      <c r="K4" s="12" t="n">
        <v>0</v>
      </c>
      <c r="L4" s="12" t="n">
        <v>71099000</v>
      </c>
      <c r="M4" s="12" t="n">
        <v>0</v>
      </c>
      <c r="N4" s="13" t="n">
        <v>-0.02893148989437264</v>
      </c>
      <c r="O4" s="13" t="n">
        <v>-0.001891072001440786</v>
      </c>
      <c r="P4" s="13" t="n">
        <v>0.4671285003663954</v>
      </c>
      <c r="Q4" s="15" t="n"/>
      <c r="R4" s="15" t="n"/>
      <c r="S4" s="15" t="n"/>
      <c r="T4" s="16" t="n"/>
      <c r="U4" s="15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71099000</v>
      </c>
      <c r="K5" s="12" t="n">
        <v>0</v>
      </c>
      <c r="L5" s="12" t="n">
        <v>70570000</v>
      </c>
      <c r="M5" s="12" t="n">
        <v>0</v>
      </c>
      <c r="N5" s="13" t="n">
        <v>0.007496103159982995</v>
      </c>
      <c r="O5" s="13" t="n">
        <v>0.004926303405992982</v>
      </c>
      <c r="P5" s="13" t="n">
        <v>0.510839333268885</v>
      </c>
      <c r="Q5" s="15" t="n"/>
      <c r="R5" s="15" t="n"/>
      <c r="S5" s="15" t="n"/>
      <c r="T5" s="16" t="n"/>
      <c r="U5" s="15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70570000</v>
      </c>
      <c r="K6" s="12" t="n">
        <v>0</v>
      </c>
      <c r="L6" s="12" t="n">
        <v>71134000</v>
      </c>
      <c r="M6" s="12" t="n">
        <v>0</v>
      </c>
      <c r="N6" s="13" t="n">
        <v>-0.007928697950347232</v>
      </c>
      <c r="O6" s="13" t="n">
        <v>0.001858588605945233</v>
      </c>
      <c r="P6" s="13" t="n">
        <v>0.4995981905341174</v>
      </c>
      <c r="Q6" s="15" t="n"/>
      <c r="R6" s="15" t="n"/>
      <c r="S6" s="15" t="n"/>
      <c r="T6" s="16" t="n"/>
      <c r="U6" s="15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71134000</v>
      </c>
      <c r="K7" s="12" t="n">
        <v>0</v>
      </c>
      <c r="L7" s="12" t="n">
        <v>73405000</v>
      </c>
      <c r="M7" s="12" t="n">
        <v>0</v>
      </c>
      <c r="N7" s="13" t="n">
        <v>-0.03093794700633472</v>
      </c>
      <c r="O7" s="13" t="n">
        <v>-0.006574873625074584</v>
      </c>
      <c r="P7" s="13" t="n">
        <v>0.5115830761719413</v>
      </c>
      <c r="Q7" s="15" t="n"/>
      <c r="R7" s="15" t="n"/>
      <c r="S7" s="15" t="n"/>
      <c r="T7" s="16" t="n"/>
      <c r="U7" s="15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73405000</v>
      </c>
      <c r="K8" s="12" t="n">
        <v>0</v>
      </c>
      <c r="L8" s="12" t="n">
        <v>70031000</v>
      </c>
      <c r="M8" s="12" t="n">
        <v>0</v>
      </c>
      <c r="N8" s="13" t="n">
        <v>0.0481786637346318</v>
      </c>
      <c r="O8" s="13" t="n">
        <v>-0.0004332584977746468</v>
      </c>
      <c r="P8" s="13" t="n">
        <v>0.5598413656816901</v>
      </c>
      <c r="Q8" s="15" t="n"/>
      <c r="R8" s="15" t="n"/>
      <c r="S8" s="15" t="n"/>
      <c r="T8" s="16" t="n"/>
      <c r="U8" s="15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70031000</v>
      </c>
      <c r="K9" s="12" t="n">
        <v>0</v>
      </c>
      <c r="L9" s="12" t="n">
        <v>66637000</v>
      </c>
      <c r="M9" s="12" t="n">
        <v>0</v>
      </c>
      <c r="N9" s="13" t="n">
        <v>0.050932665035941</v>
      </c>
      <c r="O9" s="13" t="n">
        <v>0.008162964307594667</v>
      </c>
      <c r="P9" s="13" t="n">
        <v>0.4881445498270478</v>
      </c>
      <c r="Q9" s="15" t="n"/>
      <c r="R9" s="15" t="n"/>
      <c r="S9" s="15" t="n"/>
      <c r="T9" s="16" t="n"/>
      <c r="U9" s="15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66637000</v>
      </c>
      <c r="K10" s="12" t="n">
        <v>0</v>
      </c>
      <c r="L10" s="12" t="n">
        <v>60883000</v>
      </c>
      <c r="M10" s="12" t="n">
        <v>0</v>
      </c>
      <c r="N10" s="13" t="n">
        <v>0.09450914048256492</v>
      </c>
      <c r="O10" s="13" t="n">
        <v>0.01558953323577872</v>
      </c>
      <c r="P10" s="13" t="n">
        <v>0.4160227380278019</v>
      </c>
      <c r="Q10" s="15" t="n"/>
      <c r="R10" s="15" t="n"/>
      <c r="S10" s="15" t="n"/>
      <c r="T10" s="16" t="n"/>
      <c r="U10" s="15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60883000</v>
      </c>
      <c r="K11" s="12" t="n">
        <v>0</v>
      </c>
      <c r="L11" s="12" t="n">
        <v>63322000</v>
      </c>
      <c r="M11" s="12" t="n">
        <v>0</v>
      </c>
      <c r="N11" s="13" t="n">
        <v>-0.03851741890654117</v>
      </c>
      <c r="O11" s="13" t="n">
        <v>-0.005089816927080437</v>
      </c>
      <c r="P11" s="13" t="n">
        <v>0.2937514047653205</v>
      </c>
      <c r="Q11" s="13" t="n">
        <v>-0.4340511183491615</v>
      </c>
      <c r="R11" s="15" t="n"/>
      <c r="S11" s="15" t="n"/>
      <c r="T11" s="16" t="n"/>
      <c r="U11" s="15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63322000</v>
      </c>
      <c r="K12" s="12" t="n">
        <v>0</v>
      </c>
      <c r="L12" s="12" t="n">
        <v>62806000</v>
      </c>
      <c r="M12" s="12" t="n">
        <v>0</v>
      </c>
      <c r="N12" s="13" t="n">
        <v>0.008215775562844314</v>
      </c>
      <c r="O12" s="13" t="n">
        <v>0.02345308210338604</v>
      </c>
      <c r="P12" s="13" t="n">
        <v>0.3455796602097403</v>
      </c>
      <c r="Q12" s="15" t="n"/>
      <c r="R12" s="15" t="n"/>
      <c r="S12" s="15" t="n"/>
      <c r="T12" s="16" t="n"/>
      <c r="U12" s="15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62806000</v>
      </c>
      <c r="K13" s="12" t="n">
        <v>0</v>
      </c>
      <c r="L13" s="12" t="n">
        <v>61530000</v>
      </c>
      <c r="M13" s="12" t="n">
        <v>0</v>
      </c>
      <c r="N13" s="13" t="n">
        <v>0.020737851454575</v>
      </c>
      <c r="O13" s="13" t="n">
        <v>0.01431614523211677</v>
      </c>
      <c r="P13" s="13" t="n">
        <v>0.3346147648389652</v>
      </c>
      <c r="Q13" s="15" t="n"/>
      <c r="R13" s="15" t="n"/>
      <c r="S13" s="15" t="n"/>
      <c r="T13" s="16" t="n"/>
      <c r="U13" s="15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61530000</v>
      </c>
      <c r="K14" s="12" t="n">
        <v>0</v>
      </c>
      <c r="L14" s="12" t="n">
        <v>61299000</v>
      </c>
      <c r="M14" s="12" t="n">
        <v>0</v>
      </c>
      <c r="N14" s="13" t="n">
        <v>0.003768413840356286</v>
      </c>
      <c r="O14" s="13" t="n">
        <v>0.006956219555305232</v>
      </c>
      <c r="P14" s="13" t="n">
        <v>0.3075000235732497</v>
      </c>
      <c r="Q14" s="15" t="n"/>
      <c r="R14" s="15" t="n"/>
      <c r="S14" s="15" t="n"/>
      <c r="T14" s="16" t="n"/>
      <c r="U14" s="15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61299000</v>
      </c>
      <c r="K15" s="12" t="n">
        <v>0</v>
      </c>
      <c r="L15" s="12" t="n">
        <v>53372000</v>
      </c>
      <c r="M15" s="12" t="n">
        <v>5000000</v>
      </c>
      <c r="N15" s="13" t="n">
        <v>0.05014390461180018</v>
      </c>
      <c r="O15" s="13" t="n">
        <v>-0.01014168707854168</v>
      </c>
      <c r="P15" s="13" t="n">
        <v>0.3025913204130772</v>
      </c>
      <c r="Q15" s="15" t="n"/>
      <c r="R15" s="15" t="n"/>
      <c r="S15" s="15" t="n"/>
      <c r="T15" s="16" t="n"/>
      <c r="U15" s="15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5" t="n"/>
      <c r="R16" s="15" t="n"/>
      <c r="S16" s="15" t="n"/>
      <c r="T16" s="16" t="n"/>
      <c r="U16" s="15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5" t="n"/>
      <c r="R17" s="15" t="n"/>
      <c r="S17" s="15" t="n"/>
      <c r="T17" s="16" t="n"/>
      <c r="U17" s="15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5" t="n"/>
      <c r="R18" s="15" t="n"/>
      <c r="S18" s="15" t="n"/>
      <c r="T18" s="16" t="n"/>
      <c r="U18" s="15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5" t="n"/>
      <c r="R19" s="15" t="n"/>
      <c r="S19" s="15" t="n"/>
      <c r="T19" s="16" t="n"/>
      <c r="U19" s="15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5" t="n"/>
      <c r="R20" s="15" t="n"/>
      <c r="S20" s="15" t="n"/>
      <c r="T20" s="16" t="n"/>
      <c r="U20" s="15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5" t="n"/>
      <c r="R21" s="15" t="n"/>
      <c r="S21" s="15" t="n"/>
      <c r="T21" s="16" t="n"/>
      <c r="U21" s="15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5" t="n"/>
      <c r="R22" s="15" t="n"/>
      <c r="S22" s="15" t="n"/>
      <c r="T22" s="16" t="n"/>
      <c r="U22" s="15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5" t="n"/>
      <c r="R23" s="15" t="n"/>
      <c r="S23" s="15" t="n"/>
      <c r="T23" s="16" t="n"/>
      <c r="U23" s="15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5" t="n"/>
      <c r="R24" s="15" t="n"/>
      <c r="S24" s="15" t="n"/>
      <c r="T24" s="16" t="n"/>
      <c r="U24" s="15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5" t="n"/>
      <c r="R25" s="15" t="n"/>
      <c r="S25" s="15" t="n"/>
      <c r="T25" s="16" t="n"/>
      <c r="U25" s="15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5" t="n"/>
      <c r="R26" s="15" t="n"/>
      <c r="S26" s="15" t="n"/>
      <c r="T26" s="16" t="n"/>
      <c r="U26" s="15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5" t="n"/>
      <c r="R27" s="15" t="n"/>
      <c r="S27" s="15" t="n"/>
      <c r="T27" s="16" t="n"/>
      <c r="U27" s="15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5" t="n"/>
      <c r="R28" s="15" t="n"/>
      <c r="S28" s="15" t="n"/>
      <c r="T28" s="16" t="n"/>
      <c r="U28" s="15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5" t="n"/>
      <c r="R29" s="15" t="n"/>
      <c r="S29" s="15" t="n"/>
      <c r="T29" s="16" t="n"/>
      <c r="U29" s="15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5" t="n"/>
      <c r="R30" s="15" t="n"/>
      <c r="S30" s="15" t="n"/>
      <c r="T30" s="16" t="n"/>
      <c r="U30" s="15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5" t="n"/>
      <c r="R31" s="15" t="n"/>
      <c r="S31" s="15" t="n"/>
      <c r="T31" s="16" t="n"/>
      <c r="U31" s="15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5" t="n"/>
      <c r="R32" s="15" t="n"/>
      <c r="S32" s="15" t="n"/>
      <c r="T32" s="16" t="n"/>
      <c r="U32" s="15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5" t="n"/>
      <c r="R33" s="15" t="n"/>
      <c r="S33" s="15" t="n"/>
      <c r="T33" s="16" t="n"/>
      <c r="U33" s="15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3" t="n">
        <v>-0.02712689369104548</v>
      </c>
      <c r="R34" s="15" t="n"/>
      <c r="S34" s="15" t="n"/>
      <c r="T34" s="16" t="n"/>
      <c r="U34" s="15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5" t="n"/>
      <c r="R35" s="15" t="n"/>
      <c r="S35" s="15" t="n"/>
      <c r="T35" s="16" t="n"/>
      <c r="U35" s="15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5" t="n"/>
      <c r="R36" s="15" t="n"/>
      <c r="S36" s="15" t="n"/>
      <c r="T36" s="16" t="n"/>
      <c r="U36" s="15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5" t="n"/>
      <c r="R37" s="15" t="n"/>
      <c r="S37" s="15" t="n"/>
      <c r="T37" s="16" t="n"/>
      <c r="U37" s="15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5" t="n"/>
      <c r="R38" s="15" t="n"/>
      <c r="S38" s="15" t="n"/>
      <c r="T38" s="16" t="n"/>
      <c r="U38" s="15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5" t="n"/>
      <c r="R39" s="15" t="n"/>
      <c r="S39" s="15" t="n"/>
      <c r="T39" s="16" t="n"/>
      <c r="U39" s="15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5" t="n"/>
      <c r="R40" s="15" t="n"/>
      <c r="S40" s="15" t="n"/>
      <c r="T40" s="16" t="n"/>
      <c r="U40" s="15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5" t="n"/>
      <c r="R41" s="15" t="n"/>
      <c r="S41" s="15" t="n"/>
      <c r="T41" s="16" t="n"/>
      <c r="U41" s="15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5" t="n"/>
      <c r="R42" s="15" t="n"/>
      <c r="S42" s="15" t="n"/>
      <c r="T42" s="16" t="n"/>
      <c r="U42" s="15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5" t="n"/>
      <c r="R43" s="15" t="n"/>
      <c r="S43" s="15" t="n"/>
      <c r="T43" s="16" t="n"/>
      <c r="U43" s="15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5" t="n"/>
      <c r="R44" s="15" t="n"/>
      <c r="S44" s="15" t="n"/>
      <c r="T44" s="16" t="n"/>
      <c r="U44" s="15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5" t="n"/>
      <c r="R45" s="15" t="n"/>
      <c r="S45" s="15" t="n"/>
      <c r="T45" s="16" t="n"/>
      <c r="U45" s="15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5" t="n"/>
      <c r="R46" s="15" t="n"/>
      <c r="S46" s="15" t="n"/>
      <c r="T46" s="16" t="n"/>
      <c r="U46" s="15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5" t="n"/>
      <c r="R47" s="15" t="n"/>
      <c r="S47" s="15" t="n"/>
      <c r="T47" s="16" t="n"/>
      <c r="U47" s="15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5" t="n"/>
      <c r="R48" s="15" t="n"/>
      <c r="S48" s="15" t="n"/>
      <c r="T48" s="16" t="n"/>
      <c r="U48" s="15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5" t="n"/>
      <c r="R49" s="15" t="n"/>
      <c r="S49" s="15" t="n"/>
      <c r="T49" s="16" t="n"/>
      <c r="U49" s="15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5" t="n"/>
      <c r="R50" s="15" t="n"/>
      <c r="S50" s="15" t="n"/>
      <c r="T50" s="16" t="n"/>
      <c r="U50" s="15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5" t="n"/>
      <c r="R51" s="15" t="n"/>
      <c r="S51" s="15" t="n"/>
      <c r="T51" s="16" t="n"/>
      <c r="U51" s="15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5" t="n"/>
      <c r="R52" s="15" t="n"/>
      <c r="S52" s="15" t="n"/>
      <c r="T52" s="16" t="n"/>
      <c r="U52" s="15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5" t="n"/>
      <c r="R53" s="15" t="n"/>
      <c r="S53" s="15" t="n"/>
      <c r="T53" s="16" t="n"/>
      <c r="U53" s="15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5" t="n"/>
      <c r="R54" s="15" t="n"/>
      <c r="S54" s="15" t="n"/>
      <c r="T54" s="16" t="n"/>
      <c r="U54" s="15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5" t="n"/>
      <c r="R55" s="15" t="n"/>
      <c r="S55" s="15" t="n"/>
      <c r="T55" s="16" t="n"/>
      <c r="U55" s="15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3" t="n">
        <v>-0.03518703495411091</v>
      </c>
      <c r="R56" s="15" t="n"/>
      <c r="S56" s="15" t="n"/>
      <c r="T56" s="16" t="n"/>
      <c r="U56" s="15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5" t="n"/>
      <c r="R57" s="15" t="n"/>
      <c r="S57" s="15" t="n"/>
      <c r="T57" s="16" t="n"/>
      <c r="U57" s="15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5" t="n"/>
      <c r="R58" s="15" t="n"/>
      <c r="S58" s="15" t="n"/>
      <c r="T58" s="16" t="n"/>
      <c r="U58" s="15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5" t="n"/>
      <c r="R59" s="15" t="n"/>
      <c r="S59" s="15" t="n"/>
      <c r="T59" s="16" t="n"/>
      <c r="U59" s="15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5" t="n"/>
      <c r="R60" s="15" t="n"/>
      <c r="S60" s="15" t="n"/>
      <c r="T60" s="16" t="n"/>
      <c r="U60" s="15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5" t="n"/>
      <c r="R61" s="15" t="n"/>
      <c r="S61" s="15" t="n"/>
      <c r="T61" s="16" t="n"/>
      <c r="U61" s="15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5" t="n"/>
      <c r="R62" s="15" t="n"/>
      <c r="S62" s="15" t="n"/>
      <c r="T62" s="16" t="n"/>
      <c r="U62" s="15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5" t="n"/>
      <c r="R63" s="15" t="n"/>
      <c r="S63" s="15" t="n"/>
      <c r="T63" s="16" t="n"/>
      <c r="U63" s="15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5" t="n"/>
      <c r="R64" s="15" t="n"/>
      <c r="S64" s="15" t="n"/>
      <c r="T64" s="16" t="n"/>
      <c r="U64" s="15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5" t="n"/>
      <c r="R65" s="15" t="n"/>
      <c r="S65" s="15" t="n"/>
      <c r="T65" s="16" t="n"/>
      <c r="U65" s="15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5" t="n"/>
      <c r="R66" s="15" t="n"/>
      <c r="S66" s="15" t="n"/>
      <c r="T66" s="16" t="n"/>
      <c r="U66" s="15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5" t="n"/>
      <c r="R67" s="15" t="n"/>
      <c r="S67" s="15" t="n"/>
      <c r="T67" s="16" t="n"/>
      <c r="U67" s="15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5" t="n"/>
      <c r="R68" s="15" t="n"/>
      <c r="S68" s="15" t="n"/>
      <c r="T68" s="16" t="n"/>
      <c r="U68" s="15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5" t="n"/>
      <c r="R69" s="15" t="n"/>
      <c r="S69" s="15" t="n"/>
      <c r="T69" s="16" t="n"/>
      <c r="U69" s="15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5" t="n"/>
      <c r="R70" s="15" t="n"/>
      <c r="S70" s="15" t="n"/>
      <c r="T70" s="16" t="n"/>
      <c r="U70" s="15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5" t="n"/>
      <c r="R71" s="15" t="n"/>
      <c r="S71" s="15" t="n"/>
      <c r="T71" s="16" t="n"/>
      <c r="U71" s="15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5" t="n"/>
      <c r="R72" s="15" t="n"/>
      <c r="S72" s="15" t="n"/>
      <c r="T72" s="16" t="n"/>
      <c r="U72" s="15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5" t="n"/>
      <c r="R73" s="15" t="n"/>
      <c r="S73" s="15" t="n"/>
      <c r="T73" s="16" t="n"/>
      <c r="U73" s="15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5" t="n"/>
      <c r="R74" s="15" t="n"/>
      <c r="S74" s="15" t="n"/>
      <c r="T74" s="16" t="n"/>
      <c r="U74" s="15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5" t="n"/>
      <c r="R75" s="15" t="n"/>
      <c r="S75" s="15" t="n"/>
      <c r="T75" s="16" t="n"/>
      <c r="U75" s="15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3" t="n">
        <v>0.03169263456090698</v>
      </c>
      <c r="R76" s="15" t="n"/>
      <c r="S76" s="15" t="n"/>
      <c r="T76" s="16" t="n"/>
      <c r="U76" s="15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5" t="n"/>
      <c r="R77" s="15" t="n"/>
      <c r="S77" s="15" t="n"/>
      <c r="T77" s="16" t="n"/>
      <c r="U77" s="15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5" t="n"/>
      <c r="R78" s="15" t="n"/>
      <c r="S78" s="15" t="n"/>
      <c r="T78" s="16" t="n"/>
      <c r="U78" s="15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5" t="n"/>
      <c r="R79" s="15" t="n"/>
      <c r="S79" s="15" t="n"/>
      <c r="T79" s="16" t="n"/>
      <c r="U79" s="15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5" t="n"/>
      <c r="R80" s="15" t="n"/>
      <c r="S80" s="15" t="n"/>
      <c r="T80" s="16" t="n"/>
      <c r="U80" s="15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5" t="n"/>
      <c r="R81" s="15" t="n"/>
      <c r="S81" s="15" t="n"/>
      <c r="T81" s="16" t="n"/>
      <c r="U81" s="15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5" t="n"/>
      <c r="R82" s="15" t="n"/>
      <c r="S82" s="15" t="n"/>
      <c r="T82" s="16" t="n"/>
      <c r="U82" s="15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5" t="n"/>
      <c r="R83" s="15" t="n"/>
      <c r="S83" s="15" t="n"/>
      <c r="T83" s="16" t="n"/>
      <c r="U83" s="15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5" t="n"/>
      <c r="R84" s="15" t="n"/>
      <c r="S84" s="15" t="n"/>
      <c r="T84" s="16" t="n"/>
      <c r="U84" s="15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5" t="n"/>
      <c r="R85" s="15" t="n"/>
      <c r="S85" s="15" t="n"/>
      <c r="T85" s="16" t="n"/>
      <c r="U85" s="15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5" t="n"/>
      <c r="R86" s="15" t="n"/>
      <c r="S86" s="15" t="n"/>
      <c r="T86" s="16" t="n"/>
      <c r="U86" s="15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5" t="n"/>
      <c r="R87" s="15" t="n"/>
      <c r="S87" s="15" t="n"/>
      <c r="T87" s="16" t="n"/>
      <c r="U87" s="15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5" t="n"/>
      <c r="R88" s="15" t="n"/>
      <c r="S88" s="15" t="n"/>
      <c r="T88" s="16" t="n"/>
      <c r="U88" s="15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5" t="n"/>
      <c r="R89" s="15" t="n"/>
      <c r="S89" s="15" t="n"/>
      <c r="T89" s="16" t="n"/>
      <c r="U89" s="15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5" t="n"/>
      <c r="R90" s="15" t="n"/>
      <c r="S90" s="15" t="n"/>
      <c r="T90" s="16" t="n"/>
      <c r="U90" s="15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5" t="n"/>
      <c r="R91" s="15" t="n"/>
      <c r="S91" s="15" t="n"/>
      <c r="T91" s="16" t="n"/>
      <c r="U91" s="15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5" t="n"/>
      <c r="R92" s="15" t="n"/>
      <c r="S92" s="15" t="n"/>
      <c r="T92" s="16" t="n"/>
      <c r="U92" s="15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5" t="n"/>
      <c r="R93" s="15" t="n"/>
      <c r="S93" s="15" t="n"/>
      <c r="T93" s="16" t="n"/>
      <c r="U93" s="15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5" t="n"/>
      <c r="R94" s="15" t="n"/>
      <c r="S94" s="15" t="n"/>
      <c r="T94" s="16" t="n"/>
      <c r="U94" s="15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5" t="n"/>
      <c r="R95" s="15" t="n"/>
      <c r="S95" s="15" t="n"/>
      <c r="T95" s="16" t="n"/>
      <c r="U95" s="15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3" t="n">
        <v>-0.2474313262732927</v>
      </c>
      <c r="R96" s="15" t="n"/>
      <c r="S96" s="15" t="n"/>
      <c r="T96" s="16" t="n"/>
      <c r="U96" s="15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5" t="n"/>
      <c r="R97" s="15" t="n"/>
      <c r="S97" s="15" t="n"/>
      <c r="T97" s="16" t="n"/>
      <c r="U97" s="15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5" t="n"/>
      <c r="R98" s="15" t="n"/>
      <c r="S98" s="15" t="n"/>
      <c r="T98" s="16" t="n"/>
      <c r="U98" s="15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5" t="n"/>
      <c r="R99" s="15" t="n"/>
      <c r="S99" s="15" t="n"/>
      <c r="T99" s="16" t="n"/>
      <c r="U99" s="15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5" t="n"/>
      <c r="R100" s="15" t="n"/>
      <c r="S100" s="15" t="n"/>
      <c r="T100" s="16" t="n"/>
      <c r="U100" s="15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5" t="n"/>
      <c r="R101" s="15" t="n"/>
      <c r="S101" s="15" t="n"/>
      <c r="T101" s="16" t="n"/>
      <c r="U101" s="15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5" t="n"/>
      <c r="R102" s="15" t="n"/>
      <c r="S102" s="15" t="n"/>
      <c r="T102" s="16" t="n"/>
      <c r="U102" s="15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5" t="n"/>
      <c r="R103" s="15" t="n"/>
      <c r="S103" s="15" t="n"/>
      <c r="T103" s="16" t="n"/>
      <c r="U103" s="15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5" t="n"/>
      <c r="R104" s="15" t="n"/>
      <c r="S104" s="15" t="n"/>
      <c r="T104" s="16" t="n"/>
      <c r="U104" s="15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5" t="n"/>
      <c r="R105" s="15" t="n"/>
      <c r="S105" s="15" t="n"/>
      <c r="T105" s="16" t="n"/>
      <c r="U105" s="15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5" t="n"/>
      <c r="R106" s="15" t="n"/>
      <c r="S106" s="15" t="n"/>
      <c r="T106" s="16" t="n"/>
      <c r="U106" s="15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5" t="n"/>
      <c r="R107" s="15" t="n"/>
      <c r="S107" s="15" t="n"/>
      <c r="T107" s="16" t="n"/>
      <c r="U107" s="15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5" t="n"/>
      <c r="R108" s="15" t="n"/>
      <c r="S108" s="15" t="n"/>
      <c r="T108" s="16" t="n"/>
      <c r="U108" s="15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5" t="n"/>
      <c r="R109" s="15" t="n"/>
      <c r="S109" s="15" t="n"/>
      <c r="T109" s="16" t="n"/>
      <c r="U109" s="15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5" t="n"/>
      <c r="R110" s="15" t="n"/>
      <c r="S110" s="15" t="n"/>
      <c r="T110" s="16" t="n"/>
      <c r="U110" s="15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5" t="n"/>
      <c r="R111" s="15" t="n"/>
      <c r="S111" s="15" t="n"/>
      <c r="T111" s="16" t="n"/>
      <c r="U111" s="15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5" t="n"/>
      <c r="R112" s="15" t="n"/>
      <c r="S112" s="15" t="n"/>
      <c r="T112" s="16" t="n"/>
      <c r="U112" s="15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5" t="n"/>
      <c r="R113" s="15" t="n"/>
      <c r="S113" s="15" t="n"/>
      <c r="T113" s="16" t="n"/>
      <c r="U113" s="15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5" t="n"/>
      <c r="R114" s="15" t="n"/>
      <c r="S114" s="15" t="n"/>
      <c r="T114" s="16" t="n"/>
      <c r="U114" s="15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5" t="n"/>
      <c r="R115" s="15" t="n"/>
      <c r="S115" s="15" t="n"/>
      <c r="T115" s="16" t="n"/>
      <c r="U115" s="15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5" t="n"/>
      <c r="R116" s="15" t="n"/>
      <c r="S116" s="15" t="n"/>
      <c r="T116" s="16" t="n"/>
      <c r="U116" s="15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5" t="n"/>
      <c r="R117" s="15" t="n"/>
      <c r="S117" s="15" t="n"/>
      <c r="T117" s="16" t="n"/>
      <c r="U117" s="15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3" t="n">
        <v>-0.01621516057585659</v>
      </c>
      <c r="R118" s="15" t="n"/>
      <c r="S118" s="15" t="n"/>
      <c r="T118" s="16" t="n"/>
      <c r="U118" s="15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5" t="n"/>
      <c r="R119" s="15" t="n"/>
      <c r="S119" s="15" t="n"/>
      <c r="T119" s="16" t="n"/>
      <c r="U119" s="15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5" t="n"/>
      <c r="R120" s="15" t="n"/>
      <c r="S120" s="15" t="n"/>
      <c r="T120" s="16" t="n"/>
      <c r="U120" s="15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5" t="n"/>
      <c r="R121" s="15" t="n"/>
      <c r="S121" s="15" t="n"/>
      <c r="T121" s="16" t="n"/>
      <c r="U121" s="15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5" t="n"/>
      <c r="R122" s="15" t="n"/>
      <c r="S122" s="15" t="n"/>
      <c r="T122" s="16" t="n"/>
      <c r="U122" s="15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5" t="n"/>
      <c r="R123" s="15" t="n"/>
      <c r="S123" s="15" t="n"/>
      <c r="T123" s="16" t="n"/>
      <c r="U123" s="15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5" t="n"/>
      <c r="R124" s="15" t="n"/>
      <c r="S124" s="15" t="n"/>
      <c r="T124" s="16" t="n"/>
      <c r="U124" s="15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5" t="n"/>
      <c r="R125" s="15" t="n"/>
      <c r="S125" s="15" t="n"/>
      <c r="T125" s="16" t="n"/>
      <c r="U125" s="15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5" t="n"/>
      <c r="R126" s="15" t="n"/>
      <c r="S126" s="15" t="n"/>
      <c r="T126" s="16" t="n"/>
      <c r="U126" s="15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5" t="n"/>
      <c r="R127" s="15" t="n"/>
      <c r="S127" s="15" t="n"/>
      <c r="T127" s="16" t="n"/>
      <c r="U127" s="15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5" t="n"/>
      <c r="R128" s="15" t="n"/>
      <c r="S128" s="15" t="n"/>
      <c r="T128" s="16" t="n"/>
      <c r="U128" s="15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5" t="n"/>
      <c r="R129" s="15" t="n"/>
      <c r="S129" s="15" t="n"/>
      <c r="T129" s="16" t="n"/>
      <c r="U129" s="15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5" t="n"/>
      <c r="R130" s="15" t="n"/>
      <c r="S130" s="15" t="n"/>
      <c r="T130" s="16" t="n"/>
      <c r="U130" s="15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5" t="n"/>
      <c r="R131" s="15" t="n"/>
      <c r="S131" s="15" t="n"/>
      <c r="T131" s="16" t="n"/>
      <c r="U131" s="15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5" t="n"/>
      <c r="R132" s="15" t="n"/>
      <c r="S132" s="15" t="n"/>
      <c r="T132" s="16" t="n"/>
      <c r="U132" s="15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3" t="n">
        <v>0.09042040192048284</v>
      </c>
      <c r="R133" s="15" t="n"/>
      <c r="S133" s="15" t="n"/>
      <c r="T133" s="16" t="n"/>
      <c r="U133" s="15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5" t="n"/>
      <c r="R134" s="15" t="n"/>
      <c r="S134" s="15" t="n"/>
      <c r="T134" s="16" t="n"/>
      <c r="U134" s="15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5" t="n"/>
      <c r="R135" s="15" t="n"/>
      <c r="S135" s="15" t="n"/>
      <c r="T135" s="16" t="n"/>
      <c r="U135" s="15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5" t="n"/>
      <c r="R136" s="15" t="n"/>
      <c r="S136" s="15" t="n"/>
      <c r="T136" s="16" t="n"/>
      <c r="U136" s="15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5" t="n"/>
      <c r="R137" s="15" t="n"/>
      <c r="S137" s="15" t="n"/>
      <c r="T137" s="16" t="n"/>
      <c r="U137" s="15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5" t="n"/>
      <c r="R138" s="15" t="n"/>
      <c r="S138" s="15" t="n"/>
      <c r="T138" s="16" t="n"/>
      <c r="U138" s="15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5" t="n"/>
      <c r="R139" s="15" t="n"/>
      <c r="S139" s="15" t="n"/>
      <c r="T139" s="16" t="n"/>
      <c r="U139" s="15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5" t="n"/>
      <c r="R140" s="15" t="n"/>
      <c r="S140" s="15" t="n"/>
      <c r="T140" s="16" t="n"/>
      <c r="U140" s="15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5" t="n"/>
      <c r="R141" s="15" t="n"/>
      <c r="S141" s="15" t="n"/>
      <c r="T141" s="16" t="n"/>
      <c r="U141" s="15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5" t="n"/>
      <c r="R142" s="15" t="n"/>
      <c r="S142" s="15" t="n"/>
      <c r="T142" s="16" t="n"/>
      <c r="U142" s="15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5" t="n"/>
      <c r="R143" s="15" t="n"/>
      <c r="S143" s="15" t="n"/>
      <c r="T143" s="16" t="n"/>
      <c r="U143" s="15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5" t="n"/>
      <c r="R144" s="15" t="n"/>
      <c r="S144" s="15" t="n"/>
      <c r="T144" s="16" t="n"/>
      <c r="U144" s="15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5" t="n"/>
      <c r="R145" s="15" t="n"/>
      <c r="S145" s="15" t="n"/>
      <c r="T145" s="16" t="n"/>
      <c r="U145" s="15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5" t="n"/>
      <c r="R146" s="15" t="n"/>
      <c r="S146" s="15" t="n"/>
      <c r="T146" s="16" t="n"/>
      <c r="U146" s="15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5" t="n"/>
      <c r="R147" s="15" t="n"/>
      <c r="S147" s="15" t="n"/>
      <c r="T147" s="16" t="n"/>
      <c r="U147" s="15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5" t="n"/>
      <c r="R148" s="15" t="n"/>
      <c r="S148" s="15" t="n"/>
      <c r="T148" s="16" t="n"/>
      <c r="U148" s="15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5" t="n"/>
      <c r="R149" s="15" t="n"/>
      <c r="S149" s="15" t="n"/>
      <c r="T149" s="16" t="n"/>
      <c r="U149" s="15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5" t="n"/>
      <c r="R150" s="15" t="n"/>
      <c r="S150" s="15" t="n"/>
      <c r="T150" s="16" t="n"/>
      <c r="U150" s="15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5" t="n"/>
      <c r="R151" s="15" t="n"/>
      <c r="S151" s="15" t="n"/>
      <c r="T151" s="16" t="n"/>
      <c r="U151" s="15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5" t="n"/>
      <c r="R152" s="15" t="n"/>
      <c r="S152" s="15" t="n"/>
      <c r="T152" s="16" t="n"/>
      <c r="U152" s="15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3" t="n">
        <v>0.0718371832550837</v>
      </c>
      <c r="R153" s="13" t="n">
        <v>0.6480815995284606</v>
      </c>
      <c r="S153" s="13" t="n">
        <v>0.4086818547814159</v>
      </c>
      <c r="T153" s="14">
        <f>(0.6480815995284606 - 0.04) / (STDEVP(N153:N401) * SQRT(252))</f>
        <v/>
      </c>
      <c r="U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5" t="n"/>
      <c r="R154" s="15" t="n"/>
      <c r="S154" s="15" t="n"/>
      <c r="T154" s="16" t="n"/>
      <c r="U154" s="15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5" t="n"/>
      <c r="R155" s="15" t="n"/>
      <c r="S155" s="15" t="n"/>
      <c r="T155" s="16" t="n"/>
      <c r="U155" s="15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5" t="n"/>
      <c r="R156" s="15" t="n"/>
      <c r="S156" s="15" t="n"/>
      <c r="T156" s="16" t="n"/>
      <c r="U156" s="15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5" t="n"/>
      <c r="R157" s="15" t="n"/>
      <c r="S157" s="15" t="n"/>
      <c r="T157" s="16" t="n"/>
      <c r="U157" s="15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5" t="n"/>
      <c r="R158" s="15" t="n"/>
      <c r="S158" s="15" t="n"/>
      <c r="T158" s="16" t="n"/>
      <c r="U158" s="15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5" t="n"/>
      <c r="R159" s="15" t="n"/>
      <c r="S159" s="15" t="n"/>
      <c r="T159" s="16" t="n"/>
      <c r="U159" s="15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5" t="n"/>
      <c r="R160" s="15" t="n"/>
      <c r="S160" s="15" t="n"/>
      <c r="T160" s="16" t="n"/>
      <c r="U160" s="15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5" t="n"/>
      <c r="R161" s="15" t="n"/>
      <c r="S161" s="15" t="n"/>
      <c r="T161" s="16" t="n"/>
      <c r="U161" s="15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5" t="n"/>
      <c r="R162" s="15" t="n"/>
      <c r="S162" s="15" t="n"/>
      <c r="T162" s="16" t="n"/>
      <c r="U162" s="15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5" t="n"/>
      <c r="R163" s="15" t="n"/>
      <c r="S163" s="15" t="n"/>
      <c r="T163" s="16" t="n"/>
      <c r="U163" s="15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5" t="n"/>
      <c r="R164" s="15" t="n"/>
      <c r="S164" s="15" t="n"/>
      <c r="T164" s="16" t="n"/>
      <c r="U164" s="15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5" t="n"/>
      <c r="R165" s="15" t="n"/>
      <c r="S165" s="15" t="n"/>
      <c r="T165" s="16" t="n"/>
      <c r="U165" s="15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5" t="n"/>
      <c r="R166" s="15" t="n"/>
      <c r="S166" s="15" t="n"/>
      <c r="T166" s="16" t="n"/>
      <c r="U166" s="15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5" t="n"/>
      <c r="R167" s="15" t="n"/>
      <c r="S167" s="15" t="n"/>
      <c r="T167" s="16" t="n"/>
      <c r="U167" s="15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5" t="n"/>
      <c r="R168" s="15" t="n"/>
      <c r="S168" s="15" t="n"/>
      <c r="T168" s="16" t="n"/>
      <c r="U168" s="15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5" t="n"/>
      <c r="R169" s="15" t="n"/>
      <c r="S169" s="15" t="n"/>
      <c r="T169" s="16" t="n"/>
      <c r="U169" s="15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5" t="n"/>
      <c r="R170" s="15" t="n"/>
      <c r="S170" s="15" t="n"/>
      <c r="T170" s="16" t="n"/>
      <c r="U170" s="15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5" t="n"/>
      <c r="R171" s="15" t="n"/>
      <c r="S171" s="15" t="n"/>
      <c r="T171" s="16" t="n"/>
      <c r="U171" s="15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5" t="n"/>
      <c r="R172" s="15" t="n"/>
      <c r="S172" s="15" t="n"/>
      <c r="T172" s="16" t="n"/>
      <c r="U172" s="15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5" t="n"/>
      <c r="R173" s="15" t="n"/>
      <c r="S173" s="15" t="n"/>
      <c r="T173" s="16" t="n"/>
      <c r="U173" s="15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5" t="n"/>
      <c r="R174" s="15" t="n"/>
      <c r="S174" s="15" t="n"/>
      <c r="T174" s="16" t="n"/>
      <c r="U174" s="15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5" t="n"/>
      <c r="R175" s="15" t="n"/>
      <c r="S175" s="15" t="n"/>
      <c r="T175" s="16" t="n"/>
      <c r="U175" s="15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3" t="n">
        <v>-0.02780569911329089</v>
      </c>
      <c r="R176" s="15" t="n"/>
      <c r="S176" s="15" t="n"/>
      <c r="T176" s="16" t="n"/>
      <c r="U176" s="15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5" t="n"/>
      <c r="R177" s="15" t="n"/>
      <c r="S177" s="15" t="n"/>
      <c r="T177" s="16" t="n"/>
      <c r="U177" s="15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5" t="n"/>
      <c r="R178" s="15" t="n"/>
      <c r="S178" s="15" t="n"/>
      <c r="T178" s="16" t="n"/>
      <c r="U178" s="15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5" t="n"/>
      <c r="R179" s="15" t="n"/>
      <c r="S179" s="15" t="n"/>
      <c r="T179" s="16" t="n"/>
      <c r="U179" s="15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5" t="n"/>
      <c r="R180" s="15" t="n"/>
      <c r="S180" s="15" t="n"/>
      <c r="T180" s="16" t="n"/>
      <c r="U180" s="15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5" t="n"/>
      <c r="R181" s="15" t="n"/>
      <c r="S181" s="15" t="n"/>
      <c r="T181" s="16" t="n"/>
      <c r="U181" s="15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5" t="n"/>
      <c r="R182" s="15" t="n"/>
      <c r="S182" s="15" t="n"/>
      <c r="T182" s="16" t="n"/>
      <c r="U182" s="15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5" t="n"/>
      <c r="R183" s="15" t="n"/>
      <c r="S183" s="15" t="n"/>
      <c r="T183" s="16" t="n"/>
      <c r="U183" s="15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5" t="n"/>
      <c r="R184" s="15" t="n"/>
      <c r="S184" s="15" t="n"/>
      <c r="T184" s="16" t="n"/>
      <c r="U184" s="15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5" t="n"/>
      <c r="R185" s="15" t="n"/>
      <c r="S185" s="15" t="n"/>
      <c r="T185" s="16" t="n"/>
      <c r="U185" s="15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5" t="n"/>
      <c r="R186" s="15" t="n"/>
      <c r="S186" s="15" t="n"/>
      <c r="T186" s="16" t="n"/>
      <c r="U186" s="15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5" t="n"/>
      <c r="R187" s="15" t="n"/>
      <c r="S187" s="15" t="n"/>
      <c r="T187" s="16" t="n"/>
      <c r="U187" s="15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5" t="n"/>
      <c r="R188" s="15" t="n"/>
      <c r="S188" s="15" t="n"/>
      <c r="T188" s="16" t="n"/>
      <c r="U188" s="15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5" t="n"/>
      <c r="R189" s="15" t="n"/>
      <c r="S189" s="15" t="n"/>
      <c r="T189" s="16" t="n"/>
      <c r="U189" s="15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5" t="n"/>
      <c r="R190" s="15" t="n"/>
      <c r="S190" s="15" t="n"/>
      <c r="T190" s="16" t="n"/>
      <c r="U190" s="15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5" t="n"/>
      <c r="R191" s="15" t="n"/>
      <c r="S191" s="15" t="n"/>
      <c r="T191" s="16" t="n"/>
      <c r="U191" s="15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5" t="n"/>
      <c r="R192" s="15" t="n"/>
      <c r="S192" s="15" t="n"/>
      <c r="T192" s="16" t="n"/>
      <c r="U192" s="15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5" t="n"/>
      <c r="R193" s="15" t="n"/>
      <c r="S193" s="15" t="n"/>
      <c r="T193" s="16" t="n"/>
      <c r="U193" s="15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5" t="n"/>
      <c r="R194" s="15" t="n"/>
      <c r="S194" s="15" t="n"/>
      <c r="T194" s="16" t="n"/>
      <c r="U194" s="15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5" t="n"/>
      <c r="R195" s="15" t="n"/>
      <c r="S195" s="15" t="n"/>
      <c r="T195" s="16" t="n"/>
      <c r="U195" s="15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3" t="n">
        <v>0.07150756300666261</v>
      </c>
      <c r="R196" s="15" t="n"/>
      <c r="S196" s="15" t="n"/>
      <c r="T196" s="16" t="n"/>
      <c r="U196" s="15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5" t="n"/>
      <c r="R197" s="15" t="n"/>
      <c r="S197" s="15" t="n"/>
      <c r="T197" s="16" t="n"/>
      <c r="U197" s="15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5" t="n"/>
      <c r="R198" s="15" t="n"/>
      <c r="S198" s="15" t="n"/>
      <c r="T198" s="16" t="n"/>
      <c r="U198" s="15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5" t="n"/>
      <c r="R199" s="15" t="n"/>
      <c r="S199" s="15" t="n"/>
      <c r="T199" s="16" t="n"/>
      <c r="U199" s="15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5" t="n"/>
      <c r="R200" s="15" t="n"/>
      <c r="S200" s="15" t="n"/>
      <c r="T200" s="16" t="n"/>
      <c r="U200" s="15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5" t="n"/>
      <c r="R201" s="15" t="n"/>
      <c r="S201" s="15" t="n"/>
      <c r="T201" s="16" t="n"/>
      <c r="U201" s="15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5" t="n"/>
      <c r="R202" s="15" t="n"/>
      <c r="S202" s="15" t="n"/>
      <c r="T202" s="16" t="n"/>
      <c r="U202" s="15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5" t="n"/>
      <c r="R203" s="15" t="n"/>
      <c r="S203" s="15" t="n"/>
      <c r="T203" s="16" t="n"/>
      <c r="U203" s="15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5" t="n"/>
      <c r="R204" s="15" t="n"/>
      <c r="S204" s="15" t="n"/>
      <c r="T204" s="16" t="n"/>
      <c r="U204" s="15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5" t="n"/>
      <c r="R205" s="15" t="n"/>
      <c r="S205" s="15" t="n"/>
      <c r="T205" s="16" t="n"/>
      <c r="U205" s="15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5" t="n"/>
      <c r="R206" s="15" t="n"/>
      <c r="S206" s="15" t="n"/>
      <c r="T206" s="16" t="n"/>
      <c r="U206" s="15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5" t="n"/>
      <c r="R207" s="15" t="n"/>
      <c r="S207" s="15" t="n"/>
      <c r="T207" s="16" t="n"/>
      <c r="U207" s="15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5" t="n"/>
      <c r="R208" s="15" t="n"/>
      <c r="S208" s="15" t="n"/>
      <c r="T208" s="16" t="n"/>
      <c r="U208" s="15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5" t="n"/>
      <c r="R209" s="15" t="n"/>
      <c r="S209" s="15" t="n"/>
      <c r="T209" s="16" t="n"/>
      <c r="U209" s="15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5" t="n"/>
      <c r="R210" s="15" t="n"/>
      <c r="S210" s="15" t="n"/>
      <c r="T210" s="16" t="n"/>
      <c r="U210" s="15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5" t="n"/>
      <c r="R211" s="15" t="n"/>
      <c r="S211" s="15" t="n"/>
      <c r="T211" s="16" t="n"/>
      <c r="U211" s="15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5" t="n"/>
      <c r="R212" s="15" t="n"/>
      <c r="S212" s="15" t="n"/>
      <c r="T212" s="16" t="n"/>
      <c r="U212" s="15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5" t="n"/>
      <c r="R213" s="15" t="n"/>
      <c r="S213" s="15" t="n"/>
      <c r="T213" s="16" t="n"/>
      <c r="U213" s="15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5" t="n"/>
      <c r="R214" s="15" t="n"/>
      <c r="S214" s="15" t="n"/>
      <c r="T214" s="16" t="n"/>
      <c r="U214" s="15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5" t="n"/>
      <c r="R215" s="15" t="n"/>
      <c r="S215" s="15" t="n"/>
      <c r="T215" s="16" t="n"/>
      <c r="U215" s="15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5" t="n"/>
      <c r="R216" s="15" t="n"/>
      <c r="S216" s="15" t="n"/>
      <c r="T216" s="16" t="n"/>
      <c r="U216" s="15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5" t="n"/>
      <c r="R217" s="15" t="n"/>
      <c r="S217" s="15" t="n"/>
      <c r="T217" s="16" t="n"/>
      <c r="U217" s="15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5" t="n"/>
      <c r="R218" s="15" t="n"/>
      <c r="S218" s="15" t="n"/>
      <c r="T218" s="16" t="n"/>
      <c r="U218" s="15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3" t="n">
        <v>-0.005196751548714684</v>
      </c>
      <c r="R219" s="15" t="n"/>
      <c r="S219" s="15" t="n"/>
      <c r="T219" s="16" t="n"/>
      <c r="U219" s="15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5" t="n"/>
      <c r="R220" s="15" t="n"/>
      <c r="S220" s="15" t="n"/>
      <c r="T220" s="16" t="n"/>
      <c r="U220" s="15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5" t="n"/>
      <c r="R221" s="15" t="n"/>
      <c r="S221" s="15" t="n"/>
      <c r="T221" s="16" t="n"/>
      <c r="U221" s="15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5" t="n"/>
      <c r="R222" s="15" t="n"/>
      <c r="S222" s="15" t="n"/>
      <c r="T222" s="16" t="n"/>
      <c r="U222" s="15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5" t="n"/>
      <c r="R223" s="15" t="n"/>
      <c r="S223" s="15" t="n"/>
      <c r="T223" s="16" t="n"/>
      <c r="U223" s="15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5" t="n"/>
      <c r="R224" s="15" t="n"/>
      <c r="S224" s="15" t="n"/>
      <c r="T224" s="16" t="n"/>
      <c r="U224" s="15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5" t="n"/>
      <c r="R225" s="15" t="n"/>
      <c r="S225" s="15" t="n"/>
      <c r="T225" s="16" t="n"/>
      <c r="U225" s="15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5" t="n"/>
      <c r="R226" s="15" t="n"/>
      <c r="S226" s="15" t="n"/>
      <c r="T226" s="16" t="n"/>
      <c r="U226" s="15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5" t="n"/>
      <c r="R227" s="15" t="n"/>
      <c r="S227" s="15" t="n"/>
      <c r="T227" s="16" t="n"/>
      <c r="U227" s="15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5" t="n"/>
      <c r="R228" s="15" t="n"/>
      <c r="S228" s="15" t="n"/>
      <c r="T228" s="16" t="n"/>
      <c r="U228" s="15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5" t="n"/>
      <c r="R229" s="15" t="n"/>
      <c r="S229" s="15" t="n"/>
      <c r="T229" s="16" t="n"/>
      <c r="U229" s="15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5" t="n"/>
      <c r="R230" s="15" t="n"/>
      <c r="S230" s="15" t="n"/>
      <c r="T230" s="16" t="n"/>
      <c r="U230" s="15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5" t="n"/>
      <c r="R231" s="15" t="n"/>
      <c r="S231" s="15" t="n"/>
      <c r="T231" s="16" t="n"/>
      <c r="U231" s="15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5" t="n"/>
      <c r="R232" s="15" t="n"/>
      <c r="S232" s="15" t="n"/>
      <c r="T232" s="16" t="n"/>
      <c r="U232" s="15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5" t="n"/>
      <c r="R233" s="15" t="n"/>
      <c r="S233" s="15" t="n"/>
      <c r="T233" s="16" t="n"/>
      <c r="U233" s="15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5" t="n"/>
      <c r="R234" s="15" t="n"/>
      <c r="S234" s="15" t="n"/>
      <c r="T234" s="16" t="n"/>
      <c r="U234" s="15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5" t="n"/>
      <c r="R235" s="15" t="n"/>
      <c r="S235" s="15" t="n"/>
      <c r="T235" s="16" t="n"/>
      <c r="U235" s="15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5" t="n"/>
      <c r="R236" s="15" t="n"/>
      <c r="S236" s="15" t="n"/>
      <c r="T236" s="16" t="n"/>
      <c r="U236" s="15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5" t="n"/>
      <c r="R237" s="15" t="n"/>
      <c r="S237" s="15" t="n"/>
      <c r="T237" s="16" t="n"/>
      <c r="U237" s="15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5" t="n"/>
      <c r="R238" s="15" t="n"/>
      <c r="S238" s="15" t="n"/>
      <c r="T238" s="16" t="n"/>
      <c r="U238" s="15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3" t="n">
        <v>0.1713432278694205</v>
      </c>
      <c r="R239" s="15" t="n"/>
      <c r="S239" s="15" t="n"/>
      <c r="T239" s="16" t="n"/>
      <c r="U239" s="15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5" t="n"/>
      <c r="R240" s="15" t="n"/>
      <c r="S240" s="15" t="n"/>
      <c r="T240" s="16" t="n"/>
      <c r="U240" s="15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5" t="n"/>
      <c r="R241" s="15" t="n"/>
      <c r="S241" s="15" t="n"/>
      <c r="T241" s="16" t="n"/>
      <c r="U241" s="15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5" t="n"/>
      <c r="R242" s="15" t="n"/>
      <c r="S242" s="15" t="n"/>
      <c r="T242" s="16" t="n"/>
      <c r="U242" s="15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5" t="n"/>
      <c r="R243" s="15" t="n"/>
      <c r="S243" s="15" t="n"/>
      <c r="T243" s="16" t="n"/>
      <c r="U243" s="15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5" t="n"/>
      <c r="R244" s="15" t="n"/>
      <c r="S244" s="15" t="n"/>
      <c r="T244" s="16" t="n"/>
      <c r="U244" s="15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5" t="n"/>
      <c r="R245" s="15" t="n"/>
      <c r="S245" s="15" t="n"/>
      <c r="T245" s="16" t="n"/>
      <c r="U245" s="15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5" t="n"/>
      <c r="R246" s="15" t="n"/>
      <c r="S246" s="15" t="n"/>
      <c r="T246" s="16" t="n"/>
      <c r="U246" s="15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5" t="n"/>
      <c r="R247" s="15" t="n"/>
      <c r="S247" s="15" t="n"/>
      <c r="T247" s="16" t="n"/>
      <c r="U247" s="15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5" t="n"/>
      <c r="R248" s="15" t="n"/>
      <c r="S248" s="15" t="n"/>
      <c r="T248" s="16" t="n"/>
      <c r="U248" s="15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5" t="n"/>
      <c r="R249" s="15" t="n"/>
      <c r="S249" s="15" t="n"/>
      <c r="T249" s="16" t="n"/>
      <c r="U249" s="15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5" t="n"/>
      <c r="R250" s="15" t="n"/>
      <c r="S250" s="15" t="n"/>
      <c r="T250" s="16" t="n"/>
      <c r="U250" s="15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5" t="n"/>
      <c r="R251" s="15" t="n"/>
      <c r="S251" s="15" t="n"/>
      <c r="T251" s="16" t="n"/>
      <c r="U251" s="15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5" t="n"/>
      <c r="R252" s="15" t="n"/>
      <c r="S252" s="15" t="n"/>
      <c r="T252" s="16" t="n"/>
      <c r="U252" s="15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5" t="n"/>
      <c r="R253" s="15" t="n"/>
      <c r="S253" s="15" t="n"/>
      <c r="T253" s="16" t="n"/>
      <c r="U253" s="15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5" t="n"/>
      <c r="R254" s="15" t="n"/>
      <c r="S254" s="15" t="n"/>
      <c r="T254" s="16" t="n"/>
      <c r="U254" s="15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5" t="n"/>
      <c r="R255" s="15" t="n"/>
      <c r="S255" s="15" t="n"/>
      <c r="T255" s="16" t="n"/>
      <c r="U255" s="15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5" t="n"/>
      <c r="R256" s="15" t="n"/>
      <c r="S256" s="15" t="n"/>
      <c r="T256" s="16" t="n"/>
      <c r="U256" s="15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5" t="n"/>
      <c r="R257" s="15" t="n"/>
      <c r="S257" s="15" t="n"/>
      <c r="T257" s="16" t="n"/>
      <c r="U257" s="15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5" t="n"/>
      <c r="R258" s="15" t="n"/>
      <c r="S258" s="15" t="n"/>
      <c r="T258" s="16" t="n"/>
      <c r="U258" s="15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5" t="n"/>
      <c r="R259" s="15" t="n"/>
      <c r="S259" s="15" t="n"/>
      <c r="T259" s="16" t="n"/>
      <c r="U259" s="15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3" t="n">
        <v>0.03572561651557216</v>
      </c>
      <c r="R260" s="15" t="n"/>
      <c r="S260" s="15" t="n"/>
      <c r="T260" s="16" t="n"/>
      <c r="U260" s="15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5" t="n"/>
      <c r="R261" s="15" t="n"/>
      <c r="S261" s="15" t="n"/>
      <c r="T261" s="16" t="n"/>
      <c r="U261" s="15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5" t="n"/>
      <c r="R262" s="15" t="n"/>
      <c r="S262" s="15" t="n"/>
      <c r="T262" s="16" t="n"/>
      <c r="U262" s="15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5" t="n"/>
      <c r="R263" s="15" t="n"/>
      <c r="S263" s="15" t="n"/>
      <c r="T263" s="16" t="n"/>
      <c r="U263" s="15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5" t="n"/>
      <c r="R264" s="15" t="n"/>
      <c r="S264" s="15" t="n"/>
      <c r="T264" s="16" t="n"/>
      <c r="U264" s="15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5" t="n"/>
      <c r="R265" s="15" t="n"/>
      <c r="S265" s="15" t="n"/>
      <c r="T265" s="16" t="n"/>
      <c r="U265" s="15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5" t="n"/>
      <c r="R266" s="15" t="n"/>
      <c r="S266" s="15" t="n"/>
      <c r="T266" s="16" t="n"/>
      <c r="U266" s="15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5" t="n"/>
      <c r="R267" s="15" t="n"/>
      <c r="S267" s="15" t="n"/>
      <c r="T267" s="16" t="n"/>
      <c r="U267" s="15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5" t="n"/>
      <c r="R268" s="15" t="n"/>
      <c r="S268" s="15" t="n"/>
      <c r="T268" s="16" t="n"/>
      <c r="U268" s="15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5" t="n"/>
      <c r="R269" s="15" t="n"/>
      <c r="S269" s="15" t="n"/>
      <c r="T269" s="16" t="n"/>
      <c r="U269" s="15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5" t="n"/>
      <c r="R270" s="15" t="n"/>
      <c r="S270" s="15" t="n"/>
      <c r="T270" s="16" t="n"/>
      <c r="U270" s="15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5" t="n"/>
      <c r="R271" s="15" t="n"/>
      <c r="S271" s="15" t="n"/>
      <c r="T271" s="16" t="n"/>
      <c r="U271" s="15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5" t="n"/>
      <c r="R272" s="15" t="n"/>
      <c r="S272" s="15" t="n"/>
      <c r="T272" s="16" t="n"/>
      <c r="U272" s="15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5" t="n"/>
      <c r="R273" s="15" t="n"/>
      <c r="S273" s="15" t="n"/>
      <c r="T273" s="16" t="n"/>
      <c r="U273" s="15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5" t="n"/>
      <c r="R274" s="15" t="n"/>
      <c r="S274" s="15" t="n"/>
      <c r="T274" s="16" t="n"/>
      <c r="U274" s="15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5" t="n"/>
      <c r="R275" s="15" t="n"/>
      <c r="S275" s="15" t="n"/>
      <c r="T275" s="16" t="n"/>
      <c r="U275" s="15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5" t="n"/>
      <c r="R276" s="15" t="n"/>
      <c r="S276" s="15" t="n"/>
      <c r="T276" s="16" t="n"/>
      <c r="U276" s="15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5" t="n"/>
      <c r="R277" s="15" t="n"/>
      <c r="S277" s="15" t="n"/>
      <c r="T277" s="16" t="n"/>
      <c r="U277" s="15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5" t="n"/>
      <c r="R278" s="15" t="n"/>
      <c r="S278" s="15" t="n"/>
      <c r="T278" s="16" t="n"/>
      <c r="U278" s="15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5" t="n"/>
      <c r="R279" s="15" t="n"/>
      <c r="S279" s="15" t="n"/>
      <c r="T279" s="16" t="n"/>
      <c r="U279" s="15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5" t="n"/>
      <c r="R280" s="15" t="n"/>
      <c r="S280" s="15" t="n"/>
      <c r="T280" s="16" t="n"/>
      <c r="U280" s="15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5" t="n"/>
      <c r="R281" s="15" t="n"/>
      <c r="S281" s="15" t="n"/>
      <c r="T281" s="16" t="n"/>
      <c r="U281" s="15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5" t="n"/>
      <c r="R282" s="15" t="n"/>
      <c r="S282" s="15" t="n"/>
      <c r="T282" s="16" t="n"/>
      <c r="U282" s="15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3" t="n">
        <v>0.08287153982069273</v>
      </c>
      <c r="R283" s="15" t="n"/>
      <c r="S283" s="15" t="n"/>
      <c r="T283" s="16" t="n"/>
      <c r="U283" s="15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5" t="n"/>
      <c r="R284" s="15" t="n"/>
      <c r="S284" s="15" t="n"/>
      <c r="T284" s="16" t="n"/>
      <c r="U284" s="15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5" t="n"/>
      <c r="R285" s="15" t="n"/>
      <c r="S285" s="15" t="n"/>
      <c r="T285" s="16" t="n"/>
      <c r="U285" s="15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5" t="n"/>
      <c r="R286" s="15" t="n"/>
      <c r="S286" s="15" t="n"/>
      <c r="T286" s="16" t="n"/>
      <c r="U286" s="15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5" t="n"/>
      <c r="R287" s="15" t="n"/>
      <c r="S287" s="15" t="n"/>
      <c r="T287" s="16" t="n"/>
      <c r="U287" s="15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5" t="n"/>
      <c r="R288" s="15" t="n"/>
      <c r="S288" s="15" t="n"/>
      <c r="T288" s="16" t="n"/>
      <c r="U288" s="15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5" t="n"/>
      <c r="R289" s="15" t="n"/>
      <c r="S289" s="15" t="n"/>
      <c r="T289" s="16" t="n"/>
      <c r="U289" s="15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5" t="n"/>
      <c r="R290" s="15" t="n"/>
      <c r="S290" s="15" t="n"/>
      <c r="T290" s="16" t="n"/>
      <c r="U290" s="15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5" t="n"/>
      <c r="R291" s="15" t="n"/>
      <c r="S291" s="15" t="n"/>
      <c r="T291" s="16" t="n"/>
      <c r="U291" s="15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5" t="n"/>
      <c r="R292" s="15" t="n"/>
      <c r="S292" s="15" t="n"/>
      <c r="T292" s="16" t="n"/>
      <c r="U292" s="15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5" t="n"/>
      <c r="R293" s="15" t="n"/>
      <c r="S293" s="15" t="n"/>
      <c r="T293" s="16" t="n"/>
      <c r="U293" s="15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5" t="n"/>
      <c r="R294" s="15" t="n"/>
      <c r="S294" s="15" t="n"/>
      <c r="T294" s="16" t="n"/>
      <c r="U294" s="15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5" t="n"/>
      <c r="R295" s="15" t="n"/>
      <c r="S295" s="15" t="n"/>
      <c r="T295" s="16" t="n"/>
      <c r="U295" s="15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5" t="n"/>
      <c r="R296" s="15" t="n"/>
      <c r="S296" s="15" t="n"/>
      <c r="T296" s="16" t="n"/>
      <c r="U296" s="15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5" t="n"/>
      <c r="R297" s="15" t="n"/>
      <c r="S297" s="15" t="n"/>
      <c r="T297" s="16" t="n"/>
      <c r="U297" s="15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5" t="n"/>
      <c r="R298" s="15" t="n"/>
      <c r="S298" s="15" t="n"/>
      <c r="T298" s="16" t="n"/>
      <c r="U298" s="15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5" t="n"/>
      <c r="R299" s="15" t="n"/>
      <c r="S299" s="15" t="n"/>
      <c r="T299" s="16" t="n"/>
      <c r="U299" s="15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5" t="n"/>
      <c r="R300" s="15" t="n"/>
      <c r="S300" s="15" t="n"/>
      <c r="T300" s="16" t="n"/>
      <c r="U300" s="15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5" t="n"/>
      <c r="R301" s="15" t="n"/>
      <c r="S301" s="15" t="n"/>
      <c r="T301" s="16" t="n"/>
      <c r="U301" s="15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5" t="n"/>
      <c r="R302" s="15" t="n"/>
      <c r="S302" s="15" t="n"/>
      <c r="T302" s="16" t="n"/>
      <c r="U302" s="15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5" t="n"/>
      <c r="R303" s="15" t="n"/>
      <c r="S303" s="15" t="n"/>
      <c r="T303" s="16" t="n"/>
      <c r="U303" s="15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3" t="n">
        <v>0.06815322242415767</v>
      </c>
      <c r="R304" s="15" t="n"/>
      <c r="S304" s="15" t="n"/>
      <c r="T304" s="16" t="n"/>
      <c r="U304" s="15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5" t="n"/>
      <c r="R305" s="15" t="n"/>
      <c r="S305" s="15" t="n"/>
      <c r="T305" s="16" t="n"/>
      <c r="U305" s="15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5" t="n"/>
      <c r="R306" s="15" t="n"/>
      <c r="S306" s="15" t="n"/>
      <c r="T306" s="16" t="n"/>
      <c r="U306" s="15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5" t="n"/>
      <c r="R307" s="15" t="n"/>
      <c r="S307" s="15" t="n"/>
      <c r="T307" s="16" t="n"/>
      <c r="U307" s="15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5" t="n"/>
      <c r="R308" s="15" t="n"/>
      <c r="S308" s="15" t="n"/>
      <c r="T308" s="16" t="n"/>
      <c r="U308" s="15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5" t="n"/>
      <c r="R309" s="15" t="n"/>
      <c r="S309" s="15" t="n"/>
      <c r="T309" s="16" t="n"/>
      <c r="U309" s="15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5" t="n"/>
      <c r="R310" s="15" t="n"/>
      <c r="S310" s="15" t="n"/>
      <c r="T310" s="16" t="n"/>
      <c r="U310" s="15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5" t="n"/>
      <c r="R311" s="15" t="n"/>
      <c r="S311" s="15" t="n"/>
      <c r="T311" s="16" t="n"/>
      <c r="U311" s="15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5" t="n"/>
      <c r="R312" s="15" t="n"/>
      <c r="S312" s="15" t="n"/>
      <c r="T312" s="16" t="n"/>
      <c r="U312" s="15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5" t="n"/>
      <c r="R313" s="15" t="n"/>
      <c r="S313" s="15" t="n"/>
      <c r="T313" s="16" t="n"/>
      <c r="U313" s="15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5" t="n"/>
      <c r="R314" s="15" t="n"/>
      <c r="S314" s="15" t="n"/>
      <c r="T314" s="16" t="n"/>
      <c r="U314" s="15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5" t="n"/>
      <c r="R315" s="15" t="n"/>
      <c r="S315" s="15" t="n"/>
      <c r="T315" s="16" t="n"/>
      <c r="U315" s="15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5" t="n"/>
      <c r="R316" s="15" t="n"/>
      <c r="S316" s="15" t="n"/>
      <c r="T316" s="16" t="n"/>
      <c r="U316" s="15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5" t="n"/>
      <c r="R317" s="15" t="n"/>
      <c r="S317" s="15" t="n"/>
      <c r="T317" s="16" t="n"/>
      <c r="U317" s="15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5" t="n"/>
      <c r="R318" s="15" t="n"/>
      <c r="S318" s="15" t="n"/>
      <c r="T318" s="16" t="n"/>
      <c r="U318" s="15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5" t="n"/>
      <c r="R319" s="15" t="n"/>
      <c r="S319" s="15" t="n"/>
      <c r="T319" s="16" t="n"/>
      <c r="U319" s="15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5" t="n"/>
      <c r="R320" s="15" t="n"/>
      <c r="S320" s="15" t="n"/>
      <c r="T320" s="16" t="n"/>
      <c r="U320" s="15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5" t="n"/>
      <c r="R321" s="15" t="n"/>
      <c r="S321" s="15" t="n"/>
      <c r="T321" s="16" t="n"/>
      <c r="U321" s="15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5" t="n"/>
      <c r="R322" s="15" t="n"/>
      <c r="S322" s="15" t="n"/>
      <c r="T322" s="16" t="n"/>
      <c r="U322" s="15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5" t="n"/>
      <c r="R323" s="15" t="n"/>
      <c r="S323" s="15" t="n"/>
      <c r="T323" s="16" t="n"/>
      <c r="U323" s="15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3" t="n">
        <v>0.008441952308162248</v>
      </c>
      <c r="R324" s="15" t="n"/>
      <c r="S324" s="15" t="n"/>
      <c r="T324" s="16" t="n"/>
      <c r="U324" s="15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5" t="n"/>
      <c r="R325" s="15" t="n"/>
      <c r="S325" s="15" t="n"/>
      <c r="T325" s="16" t="n"/>
      <c r="U325" s="15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5" t="n"/>
      <c r="R326" s="15" t="n"/>
      <c r="S326" s="15" t="n"/>
      <c r="T326" s="16" t="n"/>
      <c r="U326" s="15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5" t="n"/>
      <c r="R327" s="15" t="n"/>
      <c r="S327" s="15" t="n"/>
      <c r="T327" s="16" t="n"/>
      <c r="U327" s="15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5" t="n"/>
      <c r="R328" s="15" t="n"/>
      <c r="S328" s="15" t="n"/>
      <c r="T328" s="16" t="n"/>
      <c r="U328" s="15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5" t="n"/>
      <c r="R329" s="15" t="n"/>
      <c r="S329" s="15" t="n"/>
      <c r="T329" s="16" t="n"/>
      <c r="U329" s="15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5" t="n"/>
      <c r="R330" s="15" t="n"/>
      <c r="S330" s="15" t="n"/>
      <c r="T330" s="16" t="n"/>
      <c r="U330" s="15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5" t="n"/>
      <c r="R331" s="15" t="n"/>
      <c r="S331" s="15" t="n"/>
      <c r="T331" s="16" t="n"/>
      <c r="U331" s="15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5" t="n"/>
      <c r="R332" s="15" t="n"/>
      <c r="S332" s="15" t="n"/>
      <c r="T332" s="16" t="n"/>
      <c r="U332" s="15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5" t="n"/>
      <c r="R333" s="15" t="n"/>
      <c r="S333" s="15" t="n"/>
      <c r="T333" s="16" t="n"/>
      <c r="U333" s="15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5" t="n"/>
      <c r="R334" s="15" t="n"/>
      <c r="S334" s="15" t="n"/>
      <c r="T334" s="16" t="n"/>
      <c r="U334" s="15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5" t="n"/>
      <c r="R335" s="15" t="n"/>
      <c r="S335" s="15" t="n"/>
      <c r="T335" s="16" t="n"/>
      <c r="U335" s="15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5" t="n"/>
      <c r="R336" s="15" t="n"/>
      <c r="S336" s="15" t="n"/>
      <c r="T336" s="16" t="n"/>
      <c r="U336" s="15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5" t="n"/>
      <c r="R337" s="15" t="n"/>
      <c r="S337" s="15" t="n"/>
      <c r="T337" s="16" t="n"/>
      <c r="U337" s="15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5" t="n"/>
      <c r="R338" s="15" t="n"/>
      <c r="S338" s="15" t="n"/>
      <c r="T338" s="16" t="n"/>
      <c r="U338" s="15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5" t="n"/>
      <c r="R339" s="15" t="n"/>
      <c r="S339" s="15" t="n"/>
      <c r="T339" s="16" t="n"/>
      <c r="U339" s="15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5" t="n"/>
      <c r="R340" s="15" t="n"/>
      <c r="S340" s="15" t="n"/>
      <c r="T340" s="16" t="n"/>
      <c r="U340" s="15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5" t="n"/>
      <c r="R341" s="15" t="n"/>
      <c r="S341" s="15" t="n"/>
      <c r="T341" s="16" t="n"/>
      <c r="U341" s="15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5" t="n"/>
      <c r="R342" s="15" t="n"/>
      <c r="S342" s="15" t="n"/>
      <c r="T342" s="16" t="n"/>
      <c r="U342" s="15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5" t="n"/>
      <c r="R343" s="15" t="n"/>
      <c r="S343" s="15" t="n"/>
      <c r="T343" s="16" t="n"/>
      <c r="U343" s="15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3" t="n">
        <v>0.01770737037801062</v>
      </c>
      <c r="R344" s="15" t="n"/>
      <c r="S344" s="15" t="n"/>
      <c r="T344" s="16" t="n"/>
      <c r="U344" s="15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5" t="n"/>
      <c r="R345" s="15" t="n"/>
      <c r="S345" s="15" t="n"/>
      <c r="T345" s="16" t="n"/>
      <c r="U345" s="15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5" t="n"/>
      <c r="R346" s="15" t="n"/>
      <c r="S346" s="15" t="n"/>
      <c r="T346" s="16" t="n"/>
      <c r="U346" s="15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5" t="n"/>
      <c r="R347" s="15" t="n"/>
      <c r="S347" s="15" t="n"/>
      <c r="T347" s="16" t="n"/>
      <c r="U347" s="15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5" t="n"/>
      <c r="R348" s="15" t="n"/>
      <c r="S348" s="15" t="n"/>
      <c r="T348" s="16" t="n"/>
      <c r="U348" s="15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5" t="n"/>
      <c r="R349" s="15" t="n"/>
      <c r="S349" s="15" t="n"/>
      <c r="T349" s="16" t="n"/>
      <c r="U349" s="15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5" t="n"/>
      <c r="R350" s="15" t="n"/>
      <c r="S350" s="15" t="n"/>
      <c r="T350" s="16" t="n"/>
      <c r="U350" s="15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5" t="n"/>
      <c r="R351" s="15" t="n"/>
      <c r="S351" s="15" t="n"/>
      <c r="T351" s="16" t="n"/>
      <c r="U351" s="15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5" t="n"/>
      <c r="R353" s="15" t="n"/>
      <c r="S353" s="15" t="n"/>
      <c r="T353" s="16" t="n"/>
      <c r="U353" s="15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5" t="n"/>
      <c r="R354" s="15" t="n"/>
      <c r="S354" s="15" t="n"/>
      <c r="T354" s="16" t="n"/>
      <c r="U354" s="15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5" t="n"/>
      <c r="R355" s="15" t="n"/>
      <c r="S355" s="15" t="n"/>
      <c r="T355" s="16" t="n"/>
      <c r="U355" s="15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5" t="n"/>
      <c r="R356" s="15" t="n"/>
      <c r="S356" s="15" t="n"/>
      <c r="T356" s="16" t="n"/>
      <c r="U356" s="15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5" t="n"/>
      <c r="R357" s="15" t="n"/>
      <c r="S357" s="15" t="n"/>
      <c r="T357" s="16" t="n"/>
      <c r="U357" s="15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5" t="n"/>
      <c r="R358" s="15" t="n"/>
      <c r="S358" s="15" t="n"/>
      <c r="T358" s="16" t="n"/>
      <c r="U358" s="15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5" t="n"/>
      <c r="R359" s="15" t="n"/>
      <c r="S359" s="15" t="n"/>
      <c r="T359" s="16" t="n"/>
      <c r="U359" s="15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5" t="n"/>
      <c r="R360" s="15" t="n"/>
      <c r="S360" s="15" t="n"/>
      <c r="T360" s="16" t="n"/>
      <c r="U360" s="15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5" t="n"/>
      <c r="R361" s="15" t="n"/>
      <c r="S361" s="15" t="n"/>
      <c r="T361" s="16" t="n"/>
      <c r="U361" s="15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5" t="n"/>
      <c r="R362" s="15" t="n"/>
      <c r="S362" s="15" t="n"/>
      <c r="T362" s="16" t="n"/>
      <c r="U362" s="15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5" t="n"/>
      <c r="R363" s="15" t="n"/>
      <c r="S363" s="15" t="n"/>
      <c r="T363" s="16" t="n"/>
      <c r="U363" s="15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5" t="n"/>
      <c r="R364" s="15" t="n"/>
      <c r="S364" s="15" t="n"/>
      <c r="T364" s="16" t="n"/>
      <c r="U364" s="15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3" t="n">
        <v>0.03048438376659757</v>
      </c>
      <c r="R365" s="15" t="n"/>
      <c r="S365" s="15" t="n"/>
      <c r="T365" s="16" t="n"/>
      <c r="U365" s="15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5" t="n"/>
      <c r="R366" s="15" t="n"/>
      <c r="S366" s="15" t="n"/>
      <c r="T366" s="16" t="n"/>
      <c r="U366" s="15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5" t="n"/>
      <c r="R367" s="15" t="n"/>
      <c r="S367" s="15" t="n"/>
      <c r="T367" s="16" t="n"/>
      <c r="U367" s="15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5" t="n"/>
      <c r="R368" s="15" t="n"/>
      <c r="S368" s="15" t="n"/>
      <c r="T368" s="16" t="n"/>
      <c r="U368" s="15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5" t="n"/>
      <c r="R369" s="15" t="n"/>
      <c r="S369" s="15" t="n"/>
      <c r="T369" s="16" t="n"/>
      <c r="U369" s="15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5" t="n"/>
      <c r="R370" s="15" t="n"/>
      <c r="S370" s="15" t="n"/>
      <c r="T370" s="16" t="n"/>
      <c r="U370" s="15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5" t="n"/>
      <c r="R371" s="15" t="n"/>
      <c r="S371" s="15" t="n"/>
      <c r="T371" s="16" t="n"/>
      <c r="U371" s="15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5" t="n"/>
      <c r="R372" s="15" t="n"/>
      <c r="S372" s="15" t="n"/>
      <c r="T372" s="16" t="n"/>
      <c r="U372" s="15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5" t="n"/>
      <c r="R373" s="15" t="n"/>
      <c r="S373" s="15" t="n"/>
      <c r="T373" s="16" t="n"/>
      <c r="U373" s="15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5" t="n"/>
      <c r="R374" s="15" t="n"/>
      <c r="S374" s="15" t="n"/>
      <c r="T374" s="16" t="n"/>
      <c r="U374" s="15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5" t="n"/>
      <c r="R375" s="15" t="n"/>
      <c r="S375" s="15" t="n"/>
      <c r="T375" s="16" t="n"/>
      <c r="U375" s="15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5" t="n"/>
      <c r="R376" s="15" t="n"/>
      <c r="S376" s="15" t="n"/>
      <c r="T376" s="16" t="n"/>
      <c r="U376" s="15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5" t="n"/>
      <c r="R377" s="15" t="n"/>
      <c r="S377" s="15" t="n"/>
      <c r="T377" s="16" t="n"/>
      <c r="U377" s="15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5" t="n"/>
      <c r="R378" s="15" t="n"/>
      <c r="S378" s="15" t="n"/>
      <c r="T378" s="16" t="n"/>
      <c r="U378" s="15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5" t="n"/>
      <c r="R379" s="15" t="n"/>
      <c r="S379" s="15" t="n"/>
      <c r="T379" s="16" t="n"/>
      <c r="U379" s="15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5" t="n"/>
      <c r="R380" s="15" t="n"/>
      <c r="S380" s="15" t="n"/>
      <c r="T380" s="16" t="n"/>
      <c r="U380" s="15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5" t="n"/>
      <c r="R381" s="15" t="n"/>
      <c r="S381" s="15" t="n"/>
      <c r="T381" s="16" t="n"/>
      <c r="U381" s="15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5" t="n"/>
      <c r="R382" s="15" t="n"/>
      <c r="S382" s="15" t="n"/>
      <c r="T382" s="16" t="n"/>
      <c r="U382" s="15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5" t="n"/>
      <c r="R383" s="15" t="n"/>
      <c r="S383" s="15" t="n"/>
      <c r="T383" s="16" t="n"/>
      <c r="U383" s="15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5" t="n"/>
      <c r="R384" s="15" t="n"/>
      <c r="S384" s="15" t="n"/>
      <c r="T384" s="16" t="n"/>
      <c r="U384" s="15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3" t="n">
        <v>-0.0002077576714522023</v>
      </c>
      <c r="R385" s="15" t="n"/>
      <c r="S385" s="15" t="n"/>
      <c r="T385" s="16" t="n"/>
      <c r="U385" s="15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5" t="n"/>
      <c r="R386" s="15" t="n"/>
      <c r="S386" s="15" t="n"/>
      <c r="T386" s="16" t="n"/>
      <c r="U386" s="15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5" t="n"/>
      <c r="R387" s="15" t="n"/>
      <c r="S387" s="15" t="n"/>
      <c r="T387" s="16" t="n"/>
      <c r="U387" s="15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5" t="n"/>
      <c r="R388" s="15" t="n"/>
      <c r="S388" s="15" t="n"/>
      <c r="T388" s="16" t="n"/>
      <c r="U388" s="15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5" t="n"/>
      <c r="R389" s="15" t="n"/>
      <c r="S389" s="15" t="n"/>
      <c r="T389" s="16" t="n"/>
      <c r="U389" s="15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5" t="n"/>
      <c r="R390" s="15" t="n"/>
      <c r="S390" s="15" t="n"/>
      <c r="T390" s="16" t="n"/>
      <c r="U390" s="15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5" t="n"/>
      <c r="R391" s="15" t="n"/>
      <c r="S391" s="15" t="n"/>
      <c r="T391" s="16" t="n"/>
      <c r="U391" s="15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5" t="n"/>
      <c r="R392" s="15" t="n"/>
      <c r="S392" s="15" t="n"/>
      <c r="T392" s="16" t="n"/>
      <c r="U392" s="15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5" t="n"/>
      <c r="R393" s="15" t="n"/>
      <c r="S393" s="15" t="n"/>
      <c r="T393" s="16" t="n"/>
      <c r="U393" s="15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5" t="n"/>
      <c r="R394" s="15" t="n"/>
      <c r="S394" s="15" t="n"/>
      <c r="T394" s="16" t="n"/>
      <c r="U394" s="15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5" t="n"/>
      <c r="R395" s="15" t="n"/>
      <c r="S395" s="15" t="n"/>
      <c r="T395" s="16" t="n"/>
      <c r="U395" s="15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5" t="n"/>
      <c r="R396" s="15" t="n"/>
      <c r="S396" s="15" t="n"/>
      <c r="T396" s="16" t="n"/>
      <c r="U396" s="15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5" t="n"/>
      <c r="R397" s="15" t="n"/>
      <c r="S397" s="15" t="n"/>
      <c r="T397" s="16" t="n"/>
      <c r="U397" s="15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5" t="n"/>
      <c r="R398" s="15" t="n"/>
      <c r="S398" s="15" t="n"/>
      <c r="T398" s="16" t="n"/>
      <c r="U398" s="15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5" t="n"/>
      <c r="R399" s="15" t="n"/>
      <c r="S399" s="15" t="n"/>
      <c r="T399" s="16" t="n"/>
      <c r="U399" s="15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5" t="n"/>
      <c r="R400" s="15" t="n"/>
      <c r="S400" s="15" t="n"/>
      <c r="T400" s="16" t="n"/>
      <c r="U400" s="15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5" t="n"/>
      <c r="R401" s="15" t="n"/>
      <c r="S401" s="15" t="n"/>
      <c r="T401" s="16" t="n"/>
      <c r="U401" s="15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3" t="n">
        <v>0.02312679349558944</v>
      </c>
      <c r="R402" s="13" t="n">
        <v>0.4360441410147753</v>
      </c>
      <c r="S402" s="13" t="n">
        <v>0.1211136973086839</v>
      </c>
      <c r="T402" s="14">
        <f>(0.4360441410147753 - 0.04) / (STDEVP(N402:N651) * SQRT(252))</f>
        <v/>
      </c>
      <c r="U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5" t="n"/>
      <c r="R403" s="15" t="n"/>
      <c r="S403" s="15" t="n"/>
      <c r="T403" s="16" t="n"/>
      <c r="U403" s="15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5" t="n"/>
      <c r="R404" s="15" t="n"/>
      <c r="S404" s="15" t="n"/>
      <c r="T404" s="16" t="n"/>
      <c r="U404" s="15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5" t="n"/>
      <c r="R405" s="15" t="n"/>
      <c r="S405" s="15" t="n"/>
      <c r="T405" s="16" t="n"/>
      <c r="U405" s="15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5" t="n"/>
      <c r="R406" s="15" t="n"/>
      <c r="S406" s="15" t="n"/>
      <c r="T406" s="16" t="n"/>
      <c r="U406" s="15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5" t="n"/>
      <c r="R407" s="15" t="n"/>
      <c r="S407" s="15" t="n"/>
      <c r="T407" s="16" t="n"/>
      <c r="U407" s="15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5" t="n"/>
      <c r="R408" s="15" t="n"/>
      <c r="S408" s="15" t="n"/>
      <c r="T408" s="16" t="n"/>
      <c r="U408" s="15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5" t="n"/>
      <c r="R409" s="15" t="n"/>
      <c r="S409" s="15" t="n"/>
      <c r="T409" s="16" t="n"/>
      <c r="U409" s="15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5" t="n"/>
      <c r="R410" s="15" t="n"/>
      <c r="S410" s="15" t="n"/>
      <c r="T410" s="16" t="n"/>
      <c r="U410" s="15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5" t="n"/>
      <c r="R411" s="15" t="n"/>
      <c r="S411" s="15" t="n"/>
      <c r="T411" s="16" t="n"/>
      <c r="U411" s="15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5" t="n"/>
      <c r="R412" s="15" t="n"/>
      <c r="S412" s="15" t="n"/>
      <c r="T412" s="16" t="n"/>
      <c r="U412" s="15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5" t="n"/>
      <c r="R413" s="15" t="n"/>
      <c r="S413" s="15" t="n"/>
      <c r="T413" s="16" t="n"/>
      <c r="U413" s="15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5" t="n"/>
      <c r="R414" s="15" t="n"/>
      <c r="S414" s="15" t="n"/>
      <c r="T414" s="16" t="n"/>
      <c r="U414" s="15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5" t="n"/>
      <c r="R415" s="15" t="n"/>
      <c r="S415" s="15" t="n"/>
      <c r="T415" s="16" t="n"/>
      <c r="U415" s="15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5" t="n"/>
      <c r="R416" s="15" t="n"/>
      <c r="S416" s="15" t="n"/>
      <c r="T416" s="16" t="n"/>
      <c r="U416" s="15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5" t="n"/>
      <c r="R417" s="15" t="n"/>
      <c r="S417" s="15" t="n"/>
      <c r="T417" s="16" t="n"/>
      <c r="U417" s="15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5" t="n"/>
      <c r="R418" s="15" t="n"/>
      <c r="S418" s="15" t="n"/>
      <c r="T418" s="16" t="n"/>
      <c r="U418" s="15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5" t="n"/>
      <c r="R419" s="15" t="n"/>
      <c r="S419" s="15" t="n"/>
      <c r="T419" s="16" t="n"/>
      <c r="U419" s="15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5" t="n"/>
      <c r="R420" s="15" t="n"/>
      <c r="S420" s="15" t="n"/>
      <c r="T420" s="16" t="n"/>
      <c r="U420" s="15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5" t="n"/>
      <c r="R421" s="15" t="n"/>
      <c r="S421" s="15" t="n"/>
      <c r="T421" s="16" t="n"/>
      <c r="U421" s="15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5" t="n"/>
      <c r="R422" s="15" t="n"/>
      <c r="S422" s="15" t="n"/>
      <c r="T422" s="16" t="n"/>
      <c r="U422" s="15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5" t="n"/>
      <c r="R423" s="15" t="n"/>
      <c r="S423" s="15" t="n"/>
      <c r="T423" s="16" t="n"/>
      <c r="U423" s="15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3" t="n">
        <v>-0.03453866360203584</v>
      </c>
      <c r="R424" s="15" t="n"/>
      <c r="S424" s="15" t="n"/>
      <c r="T424" s="16" t="n"/>
      <c r="U424" s="15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5" t="n"/>
      <c r="R425" s="15" t="n"/>
      <c r="S425" s="15" t="n"/>
      <c r="T425" s="16" t="n"/>
      <c r="U425" s="15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5" t="n"/>
      <c r="R426" s="15" t="n"/>
      <c r="S426" s="15" t="n"/>
      <c r="T426" s="16" t="n"/>
      <c r="U426" s="15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5" t="n"/>
      <c r="R427" s="15" t="n"/>
      <c r="S427" s="15" t="n"/>
      <c r="T427" s="16" t="n"/>
      <c r="U427" s="15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5" t="n"/>
      <c r="R428" s="15" t="n"/>
      <c r="S428" s="15" t="n"/>
      <c r="T428" s="16" t="n"/>
      <c r="U428" s="15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5" t="n"/>
      <c r="R429" s="15" t="n"/>
      <c r="S429" s="15" t="n"/>
      <c r="T429" s="16" t="n"/>
      <c r="U429" s="15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5" t="n"/>
      <c r="R430" s="15" t="n"/>
      <c r="S430" s="15" t="n"/>
      <c r="T430" s="16" t="n"/>
      <c r="U430" s="15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5" t="n"/>
      <c r="R431" s="15" t="n"/>
      <c r="S431" s="15" t="n"/>
      <c r="T431" s="16" t="n"/>
      <c r="U431" s="15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5" t="n"/>
      <c r="R432" s="15" t="n"/>
      <c r="S432" s="15" t="n"/>
      <c r="T432" s="16" t="n"/>
      <c r="U432" s="15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5" t="n"/>
      <c r="R433" s="15" t="n"/>
      <c r="S433" s="15" t="n"/>
      <c r="T433" s="16" t="n"/>
      <c r="U433" s="15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5" t="n"/>
      <c r="R434" s="15" t="n"/>
      <c r="S434" s="15" t="n"/>
      <c r="T434" s="16" t="n"/>
      <c r="U434" s="15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5" t="n"/>
      <c r="R435" s="15" t="n"/>
      <c r="S435" s="15" t="n"/>
      <c r="T435" s="16" t="n"/>
      <c r="U435" s="15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5" t="n"/>
      <c r="R436" s="15" t="n"/>
      <c r="S436" s="15" t="n"/>
      <c r="T436" s="16" t="n"/>
      <c r="U436" s="15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5" t="n"/>
      <c r="R437" s="15" t="n"/>
      <c r="S437" s="15" t="n"/>
      <c r="T437" s="16" t="n"/>
      <c r="U437" s="15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5" t="n"/>
      <c r="R438" s="15" t="n"/>
      <c r="S438" s="15" t="n"/>
      <c r="T438" s="16" t="n"/>
      <c r="U438" s="15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5" t="n"/>
      <c r="R439" s="15" t="n"/>
      <c r="S439" s="15" t="n"/>
      <c r="T439" s="16" t="n"/>
      <c r="U439" s="15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5" t="n"/>
      <c r="R440" s="15" t="n"/>
      <c r="S440" s="15" t="n"/>
      <c r="T440" s="16" t="n"/>
      <c r="U440" s="15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5" t="n"/>
      <c r="R441" s="15" t="n"/>
      <c r="S441" s="15" t="n"/>
      <c r="T441" s="16" t="n"/>
      <c r="U441" s="15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5" t="n"/>
      <c r="R442" s="15" t="n"/>
      <c r="S442" s="15" t="n"/>
      <c r="T442" s="16" t="n"/>
      <c r="U442" s="15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5" t="n"/>
      <c r="R443" s="15" t="n"/>
      <c r="S443" s="15" t="n"/>
      <c r="T443" s="16" t="n"/>
      <c r="U443" s="15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5" t="n"/>
      <c r="R444" s="15" t="n"/>
      <c r="S444" s="15" t="n"/>
      <c r="T444" s="16" t="n"/>
      <c r="U444" s="15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3" t="n">
        <v>-0.009331733994754621</v>
      </c>
      <c r="R445" s="15" t="n"/>
      <c r="S445" s="15" t="n"/>
      <c r="T445" s="16" t="n"/>
      <c r="U445" s="15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5" t="n"/>
      <c r="R446" s="15" t="n"/>
      <c r="S446" s="15" t="n"/>
      <c r="T446" s="16" t="n"/>
      <c r="U446" s="15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5" t="n"/>
      <c r="R447" s="15" t="n"/>
      <c r="S447" s="15" t="n"/>
      <c r="T447" s="16" t="n"/>
      <c r="U447" s="15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5" t="n"/>
      <c r="R448" s="15" t="n"/>
      <c r="S448" s="15" t="n"/>
      <c r="T448" s="16" t="n"/>
      <c r="U448" s="15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5" t="n"/>
      <c r="R449" s="15" t="n"/>
      <c r="S449" s="15" t="n"/>
      <c r="T449" s="16" t="n"/>
      <c r="U449" s="15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5" t="n"/>
      <c r="R450" s="15" t="n"/>
      <c r="S450" s="15" t="n"/>
      <c r="T450" s="16" t="n"/>
      <c r="U450" s="15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5" t="n"/>
      <c r="R451" s="15" t="n"/>
      <c r="S451" s="15" t="n"/>
      <c r="T451" s="16" t="n"/>
      <c r="U451" s="15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5" t="n"/>
      <c r="R452" s="15" t="n"/>
      <c r="S452" s="15" t="n"/>
      <c r="T452" s="16" t="n"/>
      <c r="U452" s="15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5" t="n"/>
      <c r="R453" s="15" t="n"/>
      <c r="S453" s="15" t="n"/>
      <c r="T453" s="16" t="n"/>
      <c r="U453" s="15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5" t="n"/>
      <c r="R454" s="15" t="n"/>
      <c r="S454" s="15" t="n"/>
      <c r="T454" s="16" t="n"/>
      <c r="U454" s="15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5" t="n"/>
      <c r="R455" s="15" t="n"/>
      <c r="S455" s="15" t="n"/>
      <c r="T455" s="16" t="n"/>
      <c r="U455" s="15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5" t="n"/>
      <c r="R456" s="15" t="n"/>
      <c r="S456" s="15" t="n"/>
      <c r="T456" s="16" t="n"/>
      <c r="U456" s="15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5" t="n"/>
      <c r="R457" s="15" t="n"/>
      <c r="S457" s="15" t="n"/>
      <c r="T457" s="16" t="n"/>
      <c r="U457" s="15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5" t="n"/>
      <c r="R458" s="15" t="n"/>
      <c r="S458" s="15" t="n"/>
      <c r="T458" s="16" t="n"/>
      <c r="U458" s="15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5" t="n"/>
      <c r="R459" s="15" t="n"/>
      <c r="S459" s="15" t="n"/>
      <c r="T459" s="16" t="n"/>
      <c r="U459" s="15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5" t="n"/>
      <c r="R460" s="15" t="n"/>
      <c r="S460" s="15" t="n"/>
      <c r="T460" s="16" t="n"/>
      <c r="U460" s="15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5" t="n"/>
      <c r="R461" s="15" t="n"/>
      <c r="S461" s="15" t="n"/>
      <c r="T461" s="16" t="n"/>
      <c r="U461" s="15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5" t="n"/>
      <c r="R462" s="15" t="n"/>
      <c r="S462" s="15" t="n"/>
      <c r="T462" s="16" t="n"/>
      <c r="U462" s="15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5" t="n"/>
      <c r="R463" s="15" t="n"/>
      <c r="S463" s="15" t="n"/>
      <c r="T463" s="16" t="n"/>
      <c r="U463" s="15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5" t="n"/>
      <c r="R464" s="15" t="n"/>
      <c r="S464" s="15" t="n"/>
      <c r="T464" s="16" t="n"/>
      <c r="U464" s="15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5" t="n"/>
      <c r="R465" s="15" t="n"/>
      <c r="S465" s="15" t="n"/>
      <c r="T465" s="16" t="n"/>
      <c r="U465" s="15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5" t="n"/>
      <c r="R466" s="15" t="n"/>
      <c r="S466" s="15" t="n"/>
      <c r="T466" s="16" t="n"/>
      <c r="U466" s="15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5" t="n"/>
      <c r="R467" s="15" t="n"/>
      <c r="S467" s="15" t="n"/>
      <c r="T467" s="16" t="n"/>
      <c r="U467" s="15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3" t="n">
        <v>0.01727044360690178</v>
      </c>
      <c r="R468" s="15" t="n"/>
      <c r="S468" s="15" t="n"/>
      <c r="T468" s="16" t="n"/>
      <c r="U468" s="15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5" t="n"/>
      <c r="R469" s="15" t="n"/>
      <c r="S469" s="15" t="n"/>
      <c r="T469" s="16" t="n"/>
      <c r="U469" s="15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5" t="n"/>
      <c r="R470" s="15" t="n"/>
      <c r="S470" s="15" t="n"/>
      <c r="T470" s="16" t="n"/>
      <c r="U470" s="15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5" t="n"/>
      <c r="R471" s="15" t="n"/>
      <c r="S471" s="15" t="n"/>
      <c r="T471" s="16" t="n"/>
      <c r="U471" s="15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5" t="n"/>
      <c r="R472" s="15" t="n"/>
      <c r="S472" s="15" t="n"/>
      <c r="T472" s="16" t="n"/>
      <c r="U472" s="15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5" t="n"/>
      <c r="R473" s="15" t="n"/>
      <c r="S473" s="15" t="n"/>
      <c r="T473" s="16" t="n"/>
      <c r="U473" s="15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5" t="n"/>
      <c r="R474" s="15" t="n"/>
      <c r="S474" s="15" t="n"/>
      <c r="T474" s="16" t="n"/>
      <c r="U474" s="15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5" t="n"/>
      <c r="R475" s="15" t="n"/>
      <c r="S475" s="15" t="n"/>
      <c r="T475" s="16" t="n"/>
      <c r="U475" s="15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5" t="n"/>
      <c r="R476" s="15" t="n"/>
      <c r="S476" s="15" t="n"/>
      <c r="T476" s="16" t="n"/>
      <c r="U476" s="15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5" t="n"/>
      <c r="R477" s="15" t="n"/>
      <c r="S477" s="15" t="n"/>
      <c r="T477" s="16" t="n"/>
      <c r="U477" s="15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5" t="n"/>
      <c r="R478" s="15" t="n"/>
      <c r="S478" s="15" t="n"/>
      <c r="T478" s="16" t="n"/>
      <c r="U478" s="15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5" t="n"/>
      <c r="R479" s="15" t="n"/>
      <c r="S479" s="15" t="n"/>
      <c r="T479" s="16" t="n"/>
      <c r="U479" s="15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5" t="n"/>
      <c r="R480" s="15" t="n"/>
      <c r="S480" s="15" t="n"/>
      <c r="T480" s="16" t="n"/>
      <c r="U480" s="15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5" t="n"/>
      <c r="R481" s="15" t="n"/>
      <c r="S481" s="15" t="n"/>
      <c r="T481" s="16" t="n"/>
      <c r="U481" s="15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5" t="n"/>
      <c r="R482" s="15" t="n"/>
      <c r="S482" s="15" t="n"/>
      <c r="T482" s="16" t="n"/>
      <c r="U482" s="15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5" t="n"/>
      <c r="R483" s="15" t="n"/>
      <c r="S483" s="15" t="n"/>
      <c r="T483" s="16" t="n"/>
      <c r="U483" s="15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5" t="n"/>
      <c r="R484" s="15" t="n"/>
      <c r="S484" s="15" t="n"/>
      <c r="T484" s="16" t="n"/>
      <c r="U484" s="15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5" t="n"/>
      <c r="R485" s="15" t="n"/>
      <c r="S485" s="15" t="n"/>
      <c r="T485" s="16" t="n"/>
      <c r="U485" s="15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5" t="n"/>
      <c r="R486" s="15" t="n"/>
      <c r="S486" s="15" t="n"/>
      <c r="T486" s="16" t="n"/>
      <c r="U486" s="15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3" t="n">
        <v>0.03508983617568795</v>
      </c>
      <c r="R487" s="15" t="n"/>
      <c r="S487" s="15" t="n"/>
      <c r="T487" s="16" t="n"/>
      <c r="U487" s="15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5" t="n"/>
      <c r="R488" s="15" t="n"/>
      <c r="S488" s="15" t="n"/>
      <c r="T488" s="16" t="n"/>
      <c r="U488" s="15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5" t="n"/>
      <c r="R489" s="15" t="n"/>
      <c r="S489" s="15" t="n"/>
      <c r="T489" s="16" t="n"/>
      <c r="U489" s="15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5" t="n"/>
      <c r="R490" s="15" t="n"/>
      <c r="S490" s="15" t="n"/>
      <c r="T490" s="16" t="n"/>
      <c r="U490" s="15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5" t="n"/>
      <c r="R491" s="15" t="n"/>
      <c r="S491" s="15" t="n"/>
      <c r="T491" s="16" t="n"/>
      <c r="U491" s="15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5" t="n"/>
      <c r="R492" s="15" t="n"/>
      <c r="S492" s="15" t="n"/>
      <c r="T492" s="16" t="n"/>
      <c r="U492" s="15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5" t="n"/>
      <c r="R493" s="15" t="n"/>
      <c r="S493" s="15" t="n"/>
      <c r="T493" s="16" t="n"/>
      <c r="U493" s="15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5" t="n"/>
      <c r="R494" s="15" t="n"/>
      <c r="S494" s="15" t="n"/>
      <c r="T494" s="16" t="n"/>
      <c r="U494" s="15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5" t="n"/>
      <c r="R495" s="15" t="n"/>
      <c r="S495" s="15" t="n"/>
      <c r="T495" s="16" t="n"/>
      <c r="U495" s="15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5" t="n"/>
      <c r="R496" s="15" t="n"/>
      <c r="S496" s="15" t="n"/>
      <c r="T496" s="16" t="n"/>
      <c r="U496" s="15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5" t="n"/>
      <c r="R497" s="15" t="n"/>
      <c r="S497" s="15" t="n"/>
      <c r="T497" s="16" t="n"/>
      <c r="U497" s="15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5" t="n"/>
      <c r="R498" s="15" t="n"/>
      <c r="S498" s="15" t="n"/>
      <c r="T498" s="16" t="n"/>
      <c r="U498" s="15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5" t="n"/>
      <c r="R499" s="15" t="n"/>
      <c r="S499" s="15" t="n"/>
      <c r="T499" s="16" t="n"/>
      <c r="U499" s="15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5" t="n"/>
      <c r="R500" s="15" t="n"/>
      <c r="S500" s="15" t="n"/>
      <c r="T500" s="16" t="n"/>
      <c r="U500" s="15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5" t="n"/>
      <c r="R501" s="15" t="n"/>
      <c r="S501" s="15" t="n"/>
      <c r="T501" s="16" t="n"/>
      <c r="U501" s="15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5" t="n"/>
      <c r="R502" s="15" t="n"/>
      <c r="S502" s="15" t="n"/>
      <c r="T502" s="16" t="n"/>
      <c r="U502" s="15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5" t="n"/>
      <c r="R503" s="15" t="n"/>
      <c r="S503" s="15" t="n"/>
      <c r="T503" s="16" t="n"/>
      <c r="U503" s="15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5" t="n"/>
      <c r="R504" s="15" t="n"/>
      <c r="S504" s="15" t="n"/>
      <c r="T504" s="16" t="n"/>
      <c r="U504" s="15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5" t="n"/>
      <c r="R505" s="15" t="n"/>
      <c r="S505" s="15" t="n"/>
      <c r="T505" s="16" t="n"/>
      <c r="U505" s="15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5" t="n"/>
      <c r="R506" s="15" t="n"/>
      <c r="S506" s="15" t="n"/>
      <c r="T506" s="16" t="n"/>
      <c r="U506" s="15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5" t="n"/>
      <c r="R507" s="15" t="n"/>
      <c r="S507" s="15" t="n"/>
      <c r="T507" s="16" t="n"/>
      <c r="U507" s="15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5" t="n"/>
      <c r="R508" s="15" t="n"/>
      <c r="S508" s="15" t="n"/>
      <c r="T508" s="16" t="n"/>
      <c r="U508" s="15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3" t="n">
        <v>0.01596761997953999</v>
      </c>
      <c r="R509" s="15" t="n"/>
      <c r="S509" s="15" t="n"/>
      <c r="T509" s="16" t="n"/>
      <c r="U509" s="15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5" t="n"/>
      <c r="R510" s="15" t="n"/>
      <c r="S510" s="15" t="n"/>
      <c r="T510" s="16" t="n"/>
      <c r="U510" s="15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5" t="n"/>
      <c r="R511" s="15" t="n"/>
      <c r="S511" s="15" t="n"/>
      <c r="T511" s="16" t="n"/>
      <c r="U511" s="15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5" t="n"/>
      <c r="R512" s="15" t="n"/>
      <c r="S512" s="15" t="n"/>
      <c r="T512" s="16" t="n"/>
      <c r="U512" s="15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5" t="n"/>
      <c r="R513" s="15" t="n"/>
      <c r="S513" s="15" t="n"/>
      <c r="T513" s="16" t="n"/>
      <c r="U513" s="15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5" t="n"/>
      <c r="R514" s="15" t="n"/>
      <c r="S514" s="15" t="n"/>
      <c r="T514" s="16" t="n"/>
      <c r="U514" s="15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5" t="n"/>
      <c r="R515" s="15" t="n"/>
      <c r="S515" s="15" t="n"/>
      <c r="T515" s="16" t="n"/>
      <c r="U515" s="15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5" t="n"/>
      <c r="R516" s="15" t="n"/>
      <c r="S516" s="15" t="n"/>
      <c r="T516" s="16" t="n"/>
      <c r="U516" s="15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5" t="n"/>
      <c r="R517" s="15" t="n"/>
      <c r="S517" s="15" t="n"/>
      <c r="T517" s="16" t="n"/>
      <c r="U517" s="15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5" t="n"/>
      <c r="R518" s="15" t="n"/>
      <c r="S518" s="15" t="n"/>
      <c r="T518" s="16" t="n"/>
      <c r="U518" s="15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5" t="n"/>
      <c r="R519" s="15" t="n"/>
      <c r="S519" s="15" t="n"/>
      <c r="T519" s="16" t="n"/>
      <c r="U519" s="15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5" t="n"/>
      <c r="R520" s="15" t="n"/>
      <c r="S520" s="15" t="n"/>
      <c r="T520" s="16" t="n"/>
      <c r="U520" s="15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5" t="n"/>
      <c r="R521" s="15" t="n"/>
      <c r="S521" s="15" t="n"/>
      <c r="T521" s="16" t="n"/>
      <c r="U521" s="15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5" t="n"/>
      <c r="R522" s="15" t="n"/>
      <c r="S522" s="15" t="n"/>
      <c r="T522" s="16" t="n"/>
      <c r="U522" s="15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5" t="n"/>
      <c r="R523" s="15" t="n"/>
      <c r="S523" s="15" t="n"/>
      <c r="T523" s="16" t="n"/>
      <c r="U523" s="15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5" t="n"/>
      <c r="R524" s="15" t="n"/>
      <c r="S524" s="15" t="n"/>
      <c r="T524" s="16" t="n"/>
      <c r="U524" s="15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5" t="n"/>
      <c r="R525" s="15" t="n"/>
      <c r="S525" s="15" t="n"/>
      <c r="T525" s="16" t="n"/>
      <c r="U525" s="15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5" t="n"/>
      <c r="R526" s="15" t="n"/>
      <c r="S526" s="15" t="n"/>
      <c r="T526" s="16" t="n"/>
      <c r="U526" s="15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5" t="n"/>
      <c r="R527" s="15" t="n"/>
      <c r="S527" s="15" t="n"/>
      <c r="T527" s="16" t="n"/>
      <c r="U527" s="15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5" t="n"/>
      <c r="R528" s="15" t="n"/>
      <c r="S528" s="15" t="n"/>
      <c r="T528" s="16" t="n"/>
      <c r="U528" s="15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5" t="n"/>
      <c r="R529" s="15" t="n"/>
      <c r="S529" s="15" t="n"/>
      <c r="T529" s="16" t="n"/>
      <c r="U529" s="15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5" t="n"/>
      <c r="R530" s="15" t="n"/>
      <c r="S530" s="15" t="n"/>
      <c r="T530" s="16" t="n"/>
      <c r="U530" s="15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5" t="n"/>
      <c r="R531" s="15" t="n"/>
      <c r="S531" s="15" t="n"/>
      <c r="T531" s="16" t="n"/>
      <c r="U531" s="15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3" t="n">
        <v>-0.01036659093394932</v>
      </c>
      <c r="R532" s="15" t="n"/>
      <c r="S532" s="15" t="n"/>
      <c r="T532" s="16" t="n"/>
      <c r="U532" s="15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5" t="n"/>
      <c r="R533" s="15" t="n"/>
      <c r="S533" s="15" t="n"/>
      <c r="T533" s="16" t="n"/>
      <c r="U533" s="15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5" t="n"/>
      <c r="R534" s="15" t="n"/>
      <c r="S534" s="15" t="n"/>
      <c r="T534" s="16" t="n"/>
      <c r="U534" s="15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5" t="n"/>
      <c r="R535" s="15" t="n"/>
      <c r="S535" s="15" t="n"/>
      <c r="T535" s="16" t="n"/>
      <c r="U535" s="15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5" t="n"/>
      <c r="R536" s="15" t="n"/>
      <c r="S536" s="15" t="n"/>
      <c r="T536" s="16" t="n"/>
      <c r="U536" s="15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5" t="n"/>
      <c r="R537" s="15" t="n"/>
      <c r="S537" s="15" t="n"/>
      <c r="T537" s="16" t="n"/>
      <c r="U537" s="15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5" t="n"/>
      <c r="R538" s="15" t="n"/>
      <c r="S538" s="15" t="n"/>
      <c r="T538" s="16" t="n"/>
      <c r="U538" s="15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5" t="n"/>
      <c r="R539" s="15" t="n"/>
      <c r="S539" s="15" t="n"/>
      <c r="T539" s="16" t="n"/>
      <c r="U539" s="15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5" t="n"/>
      <c r="R540" s="15" t="n"/>
      <c r="S540" s="15" t="n"/>
      <c r="T540" s="16" t="n"/>
      <c r="U540" s="15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5" t="n"/>
      <c r="R541" s="15" t="n"/>
      <c r="S541" s="15" t="n"/>
      <c r="T541" s="16" t="n"/>
      <c r="U541" s="15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5" t="n"/>
      <c r="R542" s="15" t="n"/>
      <c r="S542" s="15" t="n"/>
      <c r="T542" s="16" t="n"/>
      <c r="U542" s="15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5" t="n"/>
      <c r="R543" s="15" t="n"/>
      <c r="S543" s="15" t="n"/>
      <c r="T543" s="16" t="n"/>
      <c r="U543" s="15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5" t="n"/>
      <c r="R544" s="15" t="n"/>
      <c r="S544" s="15" t="n"/>
      <c r="T544" s="16" t="n"/>
      <c r="U544" s="15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5" t="n"/>
      <c r="R545" s="15" t="n"/>
      <c r="S545" s="15" t="n"/>
      <c r="T545" s="16" t="n"/>
      <c r="U545" s="15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5" t="n"/>
      <c r="R546" s="15" t="n"/>
      <c r="S546" s="15" t="n"/>
      <c r="T546" s="16" t="n"/>
      <c r="U546" s="15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5" t="n"/>
      <c r="R547" s="15" t="n"/>
      <c r="S547" s="15" t="n"/>
      <c r="T547" s="16" t="n"/>
      <c r="U547" s="15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5" t="n"/>
      <c r="R548" s="15" t="n"/>
      <c r="S548" s="15" t="n"/>
      <c r="T548" s="16" t="n"/>
      <c r="U548" s="15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5" t="n"/>
      <c r="R549" s="15" t="n"/>
      <c r="S549" s="15" t="n"/>
      <c r="T549" s="16" t="n"/>
      <c r="U549" s="15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5" t="n"/>
      <c r="R550" s="15" t="n"/>
      <c r="S550" s="15" t="n"/>
      <c r="T550" s="16" t="n"/>
      <c r="U550" s="15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5" t="n"/>
      <c r="R551" s="15" t="n"/>
      <c r="S551" s="15" t="n"/>
      <c r="T551" s="16" t="n"/>
      <c r="U551" s="15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3" t="n">
        <v>0.1212232926616832</v>
      </c>
      <c r="R552" s="15" t="n"/>
      <c r="S552" s="15" t="n"/>
      <c r="T552" s="16" t="n"/>
      <c r="U552" s="15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5" t="n"/>
      <c r="R553" s="15" t="n"/>
      <c r="S553" s="15" t="n"/>
      <c r="T553" s="16" t="n"/>
      <c r="U553" s="15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5" t="n"/>
      <c r="R554" s="15" t="n"/>
      <c r="S554" s="15" t="n"/>
      <c r="T554" s="16" t="n"/>
      <c r="U554" s="15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5" t="n"/>
      <c r="R555" s="15" t="n"/>
      <c r="S555" s="15" t="n"/>
      <c r="T555" s="16" t="n"/>
      <c r="U555" s="15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5" t="n"/>
      <c r="R556" s="15" t="n"/>
      <c r="S556" s="15" t="n"/>
      <c r="T556" s="16" t="n"/>
      <c r="U556" s="15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5" t="n"/>
      <c r="R557" s="15" t="n"/>
      <c r="S557" s="15" t="n"/>
      <c r="T557" s="16" t="n"/>
      <c r="U557" s="15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5" t="n"/>
      <c r="R558" s="15" t="n"/>
      <c r="S558" s="15" t="n"/>
      <c r="T558" s="16" t="n"/>
      <c r="U558" s="15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5" t="n"/>
      <c r="R559" s="15" t="n"/>
      <c r="S559" s="15" t="n"/>
      <c r="T559" s="16" t="n"/>
      <c r="U559" s="15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5" t="n"/>
      <c r="R560" s="15" t="n"/>
      <c r="S560" s="15" t="n"/>
      <c r="T560" s="16" t="n"/>
      <c r="U560" s="15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5" t="n"/>
      <c r="R561" s="15" t="n"/>
      <c r="S561" s="15" t="n"/>
      <c r="T561" s="16" t="n"/>
      <c r="U561" s="15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5" t="n"/>
      <c r="R562" s="15" t="n"/>
      <c r="S562" s="15" t="n"/>
      <c r="T562" s="16" t="n"/>
      <c r="U562" s="15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5" t="n"/>
      <c r="R563" s="15" t="n"/>
      <c r="S563" s="15" t="n"/>
      <c r="T563" s="16" t="n"/>
      <c r="U563" s="15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5" t="n"/>
      <c r="R564" s="15" t="n"/>
      <c r="S564" s="15" t="n"/>
      <c r="T564" s="16" t="n"/>
      <c r="U564" s="15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5" t="n"/>
      <c r="R565" s="15" t="n"/>
      <c r="S565" s="15" t="n"/>
      <c r="T565" s="16" t="n"/>
      <c r="U565" s="15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5" t="n"/>
      <c r="R566" s="15" t="n"/>
      <c r="S566" s="15" t="n"/>
      <c r="T566" s="16" t="n"/>
      <c r="U566" s="15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5" t="n"/>
      <c r="R567" s="15" t="n"/>
      <c r="S567" s="15" t="n"/>
      <c r="T567" s="16" t="n"/>
      <c r="U567" s="15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5" t="n"/>
      <c r="R568" s="15" t="n"/>
      <c r="S568" s="15" t="n"/>
      <c r="T568" s="16" t="n"/>
      <c r="U568" s="15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5" t="n"/>
      <c r="R569" s="15" t="n"/>
      <c r="S569" s="15" t="n"/>
      <c r="T569" s="16" t="n"/>
      <c r="U569" s="15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5" t="n"/>
      <c r="R570" s="15" t="n"/>
      <c r="S570" s="15" t="n"/>
      <c r="T570" s="16" t="n"/>
      <c r="U570" s="15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5" t="n"/>
      <c r="R571" s="15" t="n"/>
      <c r="S571" s="15" t="n"/>
      <c r="T571" s="16" t="n"/>
      <c r="U571" s="15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5" t="n"/>
      <c r="R572" s="15" t="n"/>
      <c r="S572" s="15" t="n"/>
      <c r="T572" s="16" t="n"/>
      <c r="U572" s="15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5" t="n"/>
      <c r="R573" s="15" t="n"/>
      <c r="S573" s="15" t="n"/>
      <c r="T573" s="16" t="n"/>
      <c r="U573" s="15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3" t="n">
        <v>0.02086571629925471</v>
      </c>
      <c r="R574" s="15" t="n"/>
      <c r="S574" s="15" t="n"/>
      <c r="T574" s="16" t="n"/>
      <c r="U574" s="15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5" t="n"/>
      <c r="R575" s="15" t="n"/>
      <c r="S575" s="15" t="n"/>
      <c r="T575" s="16" t="n"/>
      <c r="U575" s="15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5" t="n"/>
      <c r="R576" s="15" t="n"/>
      <c r="S576" s="15" t="n"/>
      <c r="T576" s="16" t="n"/>
      <c r="U576" s="15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5" t="n"/>
      <c r="R577" s="15" t="n"/>
      <c r="S577" s="15" t="n"/>
      <c r="T577" s="16" t="n"/>
      <c r="U577" s="15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5" t="n"/>
      <c r="R578" s="15" t="n"/>
      <c r="S578" s="15" t="n"/>
      <c r="T578" s="16" t="n"/>
      <c r="U578" s="15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5" t="n"/>
      <c r="R579" s="15" t="n"/>
      <c r="S579" s="15" t="n"/>
      <c r="T579" s="16" t="n"/>
      <c r="U579" s="15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5" t="n"/>
      <c r="R580" s="15" t="n"/>
      <c r="S580" s="15" t="n"/>
      <c r="T580" s="16" t="n"/>
      <c r="U580" s="15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5" t="n"/>
      <c r="R581" s="15" t="n"/>
      <c r="S581" s="15" t="n"/>
      <c r="T581" s="16" t="n"/>
      <c r="U581" s="15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5" t="n"/>
      <c r="R582" s="15" t="n"/>
      <c r="S582" s="15" t="n"/>
      <c r="T582" s="16" t="n"/>
      <c r="U582" s="15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5" t="n"/>
      <c r="R583" s="15" t="n"/>
      <c r="S583" s="15" t="n"/>
      <c r="T583" s="16" t="n"/>
      <c r="U583" s="15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5" t="n"/>
      <c r="R584" s="15" t="n"/>
      <c r="S584" s="15" t="n"/>
      <c r="T584" s="16" t="n"/>
      <c r="U584" s="15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5" t="n"/>
      <c r="R585" s="15" t="n"/>
      <c r="S585" s="15" t="n"/>
      <c r="T585" s="16" t="n"/>
      <c r="U585" s="15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5" t="n"/>
      <c r="R586" s="15" t="n"/>
      <c r="S586" s="15" t="n"/>
      <c r="T586" s="16" t="n"/>
      <c r="U586" s="15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5" t="n"/>
      <c r="R587" s="15" t="n"/>
      <c r="S587" s="15" t="n"/>
      <c r="T587" s="16" t="n"/>
      <c r="U587" s="15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5" t="n"/>
      <c r="R588" s="15" t="n"/>
      <c r="S588" s="15" t="n"/>
      <c r="T588" s="16" t="n"/>
      <c r="U588" s="15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5" t="n"/>
      <c r="R589" s="15" t="n"/>
      <c r="S589" s="15" t="n"/>
      <c r="T589" s="16" t="n"/>
      <c r="U589" s="15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5" t="n"/>
      <c r="R590" s="15" t="n"/>
      <c r="S590" s="15" t="n"/>
      <c r="T590" s="16" t="n"/>
      <c r="U590" s="15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5" t="n"/>
      <c r="R591" s="15" t="n"/>
      <c r="S591" s="15" t="n"/>
      <c r="T591" s="16" t="n"/>
      <c r="U591" s="15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3" t="n">
        <v>0.09427672346968374</v>
      </c>
      <c r="R593" s="15" t="n"/>
      <c r="S593" s="15" t="n"/>
      <c r="T593" s="16" t="n"/>
      <c r="U593" s="15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5" t="n"/>
      <c r="R594" s="15" t="n"/>
      <c r="S594" s="15" t="n"/>
      <c r="T594" s="16" t="n"/>
      <c r="U594" s="15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5" t="n"/>
      <c r="R595" s="15" t="n"/>
      <c r="S595" s="15" t="n"/>
      <c r="T595" s="16" t="n"/>
      <c r="U595" s="15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5" t="n"/>
      <c r="R596" s="15" t="n"/>
      <c r="S596" s="15" t="n"/>
      <c r="T596" s="16" t="n"/>
      <c r="U596" s="15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5" t="n"/>
      <c r="R597" s="15" t="n"/>
      <c r="S597" s="15" t="n"/>
      <c r="T597" s="16" t="n"/>
      <c r="U597" s="15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5" t="n"/>
      <c r="R598" s="15" t="n"/>
      <c r="S598" s="15" t="n"/>
      <c r="T598" s="16" t="n"/>
      <c r="U598" s="15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5" t="n"/>
      <c r="R599" s="15" t="n"/>
      <c r="S599" s="15" t="n"/>
      <c r="T599" s="16" t="n"/>
      <c r="U599" s="15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5" t="n"/>
      <c r="R600" s="15" t="n"/>
      <c r="S600" s="15" t="n"/>
      <c r="T600" s="16" t="n"/>
      <c r="U600" s="15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5" t="n"/>
      <c r="R601" s="15" t="n"/>
      <c r="S601" s="15" t="n"/>
      <c r="T601" s="16" t="n"/>
      <c r="U601" s="15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5" t="n"/>
      <c r="R602" s="15" t="n"/>
      <c r="S602" s="15" t="n"/>
      <c r="T602" s="16" t="n"/>
      <c r="U602" s="15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5" t="n"/>
      <c r="R603" s="15" t="n"/>
      <c r="S603" s="15" t="n"/>
      <c r="T603" s="16" t="n"/>
      <c r="U603" s="15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5" t="n"/>
      <c r="R604" s="15" t="n"/>
      <c r="S604" s="15" t="n"/>
      <c r="T604" s="16" t="n"/>
      <c r="U604" s="15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5" t="n"/>
      <c r="R605" s="15" t="n"/>
      <c r="S605" s="15" t="n"/>
      <c r="T605" s="16" t="n"/>
      <c r="U605" s="15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5" t="n"/>
      <c r="R606" s="15" t="n"/>
      <c r="S606" s="15" t="n"/>
      <c r="T606" s="16" t="n"/>
      <c r="U606" s="15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5" t="n"/>
      <c r="R607" s="15" t="n"/>
      <c r="S607" s="15" t="n"/>
      <c r="T607" s="16" t="n"/>
      <c r="U607" s="15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5" t="n"/>
      <c r="R608" s="15" t="n"/>
      <c r="S608" s="15" t="n"/>
      <c r="T608" s="16" t="n"/>
      <c r="U608" s="15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5" t="n"/>
      <c r="R609" s="15" t="n"/>
      <c r="S609" s="15" t="n"/>
      <c r="T609" s="16" t="n"/>
      <c r="U609" s="15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5" t="n"/>
      <c r="R610" s="15" t="n"/>
      <c r="S610" s="15" t="n"/>
      <c r="T610" s="16" t="n"/>
      <c r="U610" s="15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5" t="n"/>
      <c r="R611" s="15" t="n"/>
      <c r="S611" s="15" t="n"/>
      <c r="T611" s="16" t="n"/>
      <c r="U611" s="15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5" t="n"/>
      <c r="R612" s="15" t="n"/>
      <c r="S612" s="15" t="n"/>
      <c r="T612" s="16" t="n"/>
      <c r="U612" s="15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5" t="n"/>
      <c r="R613" s="15" t="n"/>
      <c r="S613" s="15" t="n"/>
      <c r="T613" s="16" t="n"/>
      <c r="U613" s="15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3" t="n">
        <v>0.05017983647584723</v>
      </c>
      <c r="R614" s="15" t="n"/>
      <c r="S614" s="15" t="n"/>
      <c r="T614" s="16" t="n"/>
      <c r="U614" s="15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5" t="n"/>
      <c r="R615" s="15" t="n"/>
      <c r="S615" s="15" t="n"/>
      <c r="T615" s="16" t="n"/>
      <c r="U615" s="15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5" t="n"/>
      <c r="R616" s="15" t="n"/>
      <c r="S616" s="15" t="n"/>
      <c r="T616" s="16" t="n"/>
      <c r="U616" s="15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5" t="n"/>
      <c r="R617" s="15" t="n"/>
      <c r="S617" s="15" t="n"/>
      <c r="T617" s="16" t="n"/>
      <c r="U617" s="15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5" t="n"/>
      <c r="R618" s="15" t="n"/>
      <c r="S618" s="15" t="n"/>
      <c r="T618" s="16" t="n"/>
      <c r="U618" s="15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5" t="n"/>
      <c r="R619" s="15" t="n"/>
      <c r="S619" s="15" t="n"/>
      <c r="T619" s="16" t="n"/>
      <c r="U619" s="15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5" t="n"/>
      <c r="R620" s="15" t="n"/>
      <c r="S620" s="15" t="n"/>
      <c r="T620" s="16" t="n"/>
      <c r="U620" s="15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5" t="n"/>
      <c r="R621" s="15" t="n"/>
      <c r="S621" s="15" t="n"/>
      <c r="T621" s="16" t="n"/>
      <c r="U621" s="15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5" t="n"/>
      <c r="R623" s="15" t="n"/>
      <c r="S623" s="15" t="n"/>
      <c r="T623" s="16" t="n"/>
      <c r="U623" s="15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5" t="n"/>
      <c r="R624" s="15" t="n"/>
      <c r="S624" s="15" t="n"/>
      <c r="T624" s="16" t="n"/>
      <c r="U624" s="15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5" t="n"/>
      <c r="R625" s="15" t="n"/>
      <c r="S625" s="15" t="n"/>
      <c r="T625" s="16" t="n"/>
      <c r="U625" s="15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5" t="n"/>
      <c r="R626" s="15" t="n"/>
      <c r="S626" s="15" t="n"/>
      <c r="T626" s="16" t="n"/>
      <c r="U626" s="15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5" t="n"/>
      <c r="R627" s="15" t="n"/>
      <c r="S627" s="15" t="n"/>
      <c r="T627" s="16" t="n"/>
      <c r="U627" s="15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5" t="n"/>
      <c r="R628" s="15" t="n"/>
      <c r="S628" s="15" t="n"/>
      <c r="T628" s="16" t="n"/>
      <c r="U628" s="15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5" t="n"/>
      <c r="R629" s="15" t="n"/>
      <c r="S629" s="15" t="n"/>
      <c r="T629" s="16" t="n"/>
      <c r="U629" s="15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3" t="n">
        <v>0.05379210501304232</v>
      </c>
      <c r="R630" s="15" t="n"/>
      <c r="S630" s="15" t="n"/>
      <c r="T630" s="16" t="n"/>
      <c r="U630" s="15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5" t="n"/>
      <c r="R631" s="15" t="n"/>
      <c r="S631" s="15" t="n"/>
      <c r="T631" s="16" t="n"/>
      <c r="U631" s="15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5" t="n"/>
      <c r="R632" s="15" t="n"/>
      <c r="S632" s="15" t="n"/>
      <c r="T632" s="16" t="n"/>
      <c r="U632" s="15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5" t="n"/>
      <c r="R633" s="15" t="n"/>
      <c r="S633" s="15" t="n"/>
      <c r="T633" s="16" t="n"/>
      <c r="U633" s="15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5" t="n"/>
      <c r="R634" s="15" t="n"/>
      <c r="S634" s="15" t="n"/>
      <c r="T634" s="16" t="n"/>
      <c r="U634" s="15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5" t="n"/>
      <c r="R635" s="15" t="n"/>
      <c r="S635" s="15" t="n"/>
      <c r="T635" s="16" t="n"/>
      <c r="U635" s="15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5" t="n"/>
      <c r="R636" s="15" t="n"/>
      <c r="S636" s="15" t="n"/>
      <c r="T636" s="16" t="n"/>
      <c r="U636" s="15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5" t="n"/>
      <c r="R637" s="15" t="n"/>
      <c r="S637" s="15" t="n"/>
      <c r="T637" s="16" t="n"/>
      <c r="U637" s="15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5" t="n"/>
      <c r="R638" s="15" t="n"/>
      <c r="S638" s="15" t="n"/>
      <c r="T638" s="16" t="n"/>
      <c r="U638" s="15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5" t="n"/>
      <c r="R639" s="15" t="n"/>
      <c r="S639" s="15" t="n"/>
      <c r="T639" s="16" t="n"/>
      <c r="U639" s="15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5" t="n"/>
      <c r="R640" s="15" t="n"/>
      <c r="S640" s="15" t="n"/>
      <c r="T640" s="16" t="n"/>
      <c r="U640" s="15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5" t="n"/>
      <c r="R641" s="15" t="n"/>
      <c r="S641" s="15" t="n"/>
      <c r="T641" s="16" t="n"/>
      <c r="U641" s="15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5" t="n"/>
      <c r="R642" s="15" t="n"/>
      <c r="S642" s="15" t="n"/>
      <c r="T642" s="16" t="n"/>
      <c r="U642" s="15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5" t="n"/>
      <c r="R643" s="15" t="n"/>
      <c r="S643" s="15" t="n"/>
      <c r="T643" s="16" t="n"/>
      <c r="U643" s="15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5" t="n"/>
      <c r="R644" s="15" t="n"/>
      <c r="S644" s="15" t="n"/>
      <c r="T644" s="16" t="n"/>
      <c r="U644" s="15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5" t="n"/>
      <c r="R645" s="15" t="n"/>
      <c r="S645" s="15" t="n"/>
      <c r="T645" s="16" t="n"/>
      <c r="U645" s="15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5" t="n"/>
      <c r="R646" s="15" t="n"/>
      <c r="S646" s="15" t="n"/>
      <c r="T646" s="16" t="n"/>
      <c r="U646" s="15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5" t="n"/>
      <c r="R647" s="15" t="n"/>
      <c r="S647" s="15" t="n"/>
      <c r="T647" s="16" t="n"/>
      <c r="U647" s="15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5" t="n"/>
      <c r="R648" s="15" t="n"/>
      <c r="S648" s="15" t="n"/>
      <c r="T648" s="16" t="n"/>
      <c r="U648" s="15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5" t="n"/>
      <c r="R649" s="15" t="n"/>
      <c r="S649" s="15" t="n"/>
      <c r="T649" s="16" t="n"/>
      <c r="U649" s="15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5" t="n"/>
      <c r="R650" s="15" t="n"/>
      <c r="S650" s="15" t="n"/>
      <c r="T650" s="16" t="n"/>
      <c r="U650" s="15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5" t="n"/>
      <c r="R651" s="15" t="n"/>
      <c r="S651" s="15" t="n"/>
      <c r="T651" s="16" t="n"/>
      <c r="U651" s="15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3" t="n">
        <v>0.08338661126515334</v>
      </c>
      <c r="R652" s="13" t="n">
        <v>0.6215045341749614</v>
      </c>
      <c r="S652" s="13" t="n">
        <v>0.1219751958613426</v>
      </c>
      <c r="T652" s="14">
        <f>(0.6215045341749614 - 0.04) / (STDEVP(N652:N901) * SQRT(252))</f>
        <v/>
      </c>
      <c r="U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5" t="n"/>
      <c r="R653" s="15" t="n"/>
      <c r="S653" s="15" t="n"/>
      <c r="T653" s="16" t="n"/>
      <c r="U653" s="15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5" t="n"/>
      <c r="R654" s="15" t="n"/>
      <c r="S654" s="15" t="n"/>
      <c r="T654" s="16" t="n"/>
      <c r="U654" s="15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5" t="n"/>
      <c r="R655" s="15" t="n"/>
      <c r="S655" s="15" t="n"/>
      <c r="T655" s="16" t="n"/>
      <c r="U655" s="15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5" t="n"/>
      <c r="R656" s="15" t="n"/>
      <c r="S656" s="15" t="n"/>
      <c r="T656" s="16" t="n"/>
      <c r="U656" s="15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5" t="n"/>
      <c r="R657" s="15" t="n"/>
      <c r="S657" s="15" t="n"/>
      <c r="T657" s="16" t="n"/>
      <c r="U657" s="15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5" t="n"/>
      <c r="R658" s="15" t="n"/>
      <c r="S658" s="15" t="n"/>
      <c r="T658" s="16" t="n"/>
      <c r="U658" s="15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5" t="n"/>
      <c r="R659" s="15" t="n"/>
      <c r="S659" s="15" t="n"/>
      <c r="T659" s="16" t="n"/>
      <c r="U659" s="15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5" t="n"/>
      <c r="R660" s="15" t="n"/>
      <c r="S660" s="15" t="n"/>
      <c r="T660" s="16" t="n"/>
      <c r="U660" s="15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5" t="n"/>
      <c r="R661" s="15" t="n"/>
      <c r="S661" s="15" t="n"/>
      <c r="T661" s="16" t="n"/>
      <c r="U661" s="15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5" t="n"/>
      <c r="R662" s="15" t="n"/>
      <c r="S662" s="15" t="n"/>
      <c r="T662" s="16" t="n"/>
      <c r="U662" s="15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5" t="n"/>
      <c r="R663" s="15" t="n"/>
      <c r="S663" s="15" t="n"/>
      <c r="T663" s="16" t="n"/>
      <c r="U663" s="15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5" t="n"/>
      <c r="R664" s="15" t="n"/>
      <c r="S664" s="15" t="n"/>
      <c r="T664" s="16" t="n"/>
      <c r="U664" s="15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5" t="n"/>
      <c r="R665" s="15" t="n"/>
      <c r="S665" s="15" t="n"/>
      <c r="T665" s="16" t="n"/>
      <c r="U665" s="15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5" t="n"/>
      <c r="R666" s="15" t="n"/>
      <c r="S666" s="15" t="n"/>
      <c r="T666" s="16" t="n"/>
      <c r="U666" s="15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5" t="n"/>
      <c r="R667" s="15" t="n"/>
      <c r="S667" s="15" t="n"/>
      <c r="T667" s="16" t="n"/>
      <c r="U667" s="15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5" t="n"/>
      <c r="R668" s="15" t="n"/>
      <c r="S668" s="15" t="n"/>
      <c r="T668" s="16" t="n"/>
      <c r="U668" s="15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5" t="n"/>
      <c r="R669" s="15" t="n"/>
      <c r="S669" s="15" t="n"/>
      <c r="T669" s="16" t="n"/>
      <c r="U669" s="15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5" t="n"/>
      <c r="R670" s="15" t="n"/>
      <c r="S670" s="15" t="n"/>
      <c r="T670" s="16" t="n"/>
      <c r="U670" s="15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5" t="n"/>
      <c r="R671" s="15" t="n"/>
      <c r="S671" s="15" t="n"/>
      <c r="T671" s="16" t="n"/>
      <c r="U671" s="15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5" t="n"/>
      <c r="R672" s="15" t="n"/>
      <c r="S672" s="15" t="n"/>
      <c r="T672" s="16" t="n"/>
      <c r="U672" s="15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3" t="n">
        <v>0.07790413580540823</v>
      </c>
      <c r="R673" s="15" t="n"/>
      <c r="S673" s="15" t="n"/>
      <c r="T673" s="16" t="n"/>
      <c r="U673" s="15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5" t="n"/>
      <c r="R674" s="15" t="n"/>
      <c r="S674" s="15" t="n"/>
      <c r="T674" s="16" t="n"/>
      <c r="U674" s="15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5" t="n"/>
      <c r="R675" s="15" t="n"/>
      <c r="S675" s="15" t="n"/>
      <c r="T675" s="16" t="n"/>
      <c r="U675" s="15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5" t="n"/>
      <c r="R676" s="15" t="n"/>
      <c r="S676" s="15" t="n"/>
      <c r="T676" s="16" t="n"/>
      <c r="U676" s="15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5" t="n"/>
      <c r="R677" s="15" t="n"/>
      <c r="S677" s="15" t="n"/>
      <c r="T677" s="16" t="n"/>
      <c r="U677" s="15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5" t="n"/>
      <c r="R678" s="15" t="n"/>
      <c r="S678" s="15" t="n"/>
      <c r="T678" s="16" t="n"/>
      <c r="U678" s="15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5" t="n"/>
      <c r="R679" s="15" t="n"/>
      <c r="S679" s="15" t="n"/>
      <c r="T679" s="16" t="n"/>
      <c r="U679" s="15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5" t="n"/>
      <c r="R680" s="15" t="n"/>
      <c r="S680" s="15" t="n"/>
      <c r="T680" s="16" t="n"/>
      <c r="U680" s="15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5" t="n"/>
      <c r="R681" s="15" t="n"/>
      <c r="S681" s="15" t="n"/>
      <c r="T681" s="16" t="n"/>
      <c r="U681" s="15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5" t="n"/>
      <c r="R682" s="15" t="n"/>
      <c r="S682" s="15" t="n"/>
      <c r="T682" s="16" t="n"/>
      <c r="U682" s="15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5" t="n"/>
      <c r="R683" s="15" t="n"/>
      <c r="S683" s="15" t="n"/>
      <c r="T683" s="16" t="n"/>
      <c r="U683" s="15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5" t="n"/>
      <c r="R684" s="15" t="n"/>
      <c r="S684" s="15" t="n"/>
      <c r="T684" s="16" t="n"/>
      <c r="U684" s="15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5" t="n"/>
      <c r="R685" s="15" t="n"/>
      <c r="S685" s="15" t="n"/>
      <c r="T685" s="16" t="n"/>
      <c r="U685" s="15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5" t="n"/>
      <c r="R686" s="15" t="n"/>
      <c r="S686" s="15" t="n"/>
      <c r="T686" s="16" t="n"/>
      <c r="U686" s="15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5" t="n"/>
      <c r="R687" s="15" t="n"/>
      <c r="S687" s="15" t="n"/>
      <c r="T687" s="16" t="n"/>
      <c r="U687" s="15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5" t="n"/>
      <c r="R688" s="15" t="n"/>
      <c r="S688" s="15" t="n"/>
      <c r="T688" s="16" t="n"/>
      <c r="U688" s="15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5" t="n"/>
      <c r="R689" s="15" t="n"/>
      <c r="S689" s="15" t="n"/>
      <c r="T689" s="16" t="n"/>
      <c r="U689" s="15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5" t="n"/>
      <c r="R690" s="15" t="n"/>
      <c r="S690" s="15" t="n"/>
      <c r="T690" s="16" t="n"/>
      <c r="U690" s="15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5" t="n"/>
      <c r="R691" s="15" t="n"/>
      <c r="S691" s="15" t="n"/>
      <c r="T691" s="16" t="n"/>
      <c r="U691" s="15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5" t="n"/>
      <c r="R692" s="15" t="n"/>
      <c r="S692" s="15" t="n"/>
      <c r="T692" s="16" t="n"/>
      <c r="U692" s="15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5" t="n"/>
      <c r="R693" s="15" t="n"/>
      <c r="S693" s="15" t="n"/>
      <c r="T693" s="16" t="n"/>
      <c r="U693" s="15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5" t="n"/>
      <c r="R694" s="15" t="n"/>
      <c r="S694" s="15" t="n"/>
      <c r="T694" s="16" t="n"/>
      <c r="U694" s="15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3" t="n">
        <v>-0.1134071497807322</v>
      </c>
      <c r="R695" s="15" t="n"/>
      <c r="S695" s="15" t="n"/>
      <c r="T695" s="16" t="n"/>
      <c r="U695" s="15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5" t="n"/>
      <c r="R696" s="15" t="n"/>
      <c r="S696" s="15" t="n"/>
      <c r="T696" s="16" t="n"/>
      <c r="U696" s="15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5" t="n"/>
      <c r="R697" s="15" t="n"/>
      <c r="S697" s="15" t="n"/>
      <c r="T697" s="16" t="n"/>
      <c r="U697" s="15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5" t="n"/>
      <c r="R698" s="15" t="n"/>
      <c r="S698" s="15" t="n"/>
      <c r="T698" s="16" t="n"/>
      <c r="U698" s="15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5" t="n"/>
      <c r="R699" s="15" t="n"/>
      <c r="S699" s="15" t="n"/>
      <c r="T699" s="16" t="n"/>
      <c r="U699" s="15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5" t="n"/>
      <c r="R700" s="15" t="n"/>
      <c r="S700" s="15" t="n"/>
      <c r="T700" s="16" t="n"/>
      <c r="U700" s="15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5" t="n"/>
      <c r="R701" s="15" t="n"/>
      <c r="S701" s="15" t="n"/>
      <c r="T701" s="16" t="n"/>
      <c r="U701" s="15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5" t="n"/>
      <c r="R702" s="15" t="n"/>
      <c r="S702" s="15" t="n"/>
      <c r="T702" s="16" t="n"/>
      <c r="U702" s="15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5" t="n"/>
      <c r="R703" s="15" t="n"/>
      <c r="S703" s="15" t="n"/>
      <c r="T703" s="16" t="n"/>
      <c r="U703" s="15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5" t="n"/>
      <c r="R704" s="15" t="n"/>
      <c r="S704" s="15" t="n"/>
      <c r="T704" s="16" t="n"/>
      <c r="U704" s="15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5" t="n"/>
      <c r="R705" s="15" t="n"/>
      <c r="S705" s="15" t="n"/>
      <c r="T705" s="16" t="n"/>
      <c r="U705" s="15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5" t="n"/>
      <c r="R706" s="15" t="n"/>
      <c r="S706" s="15" t="n"/>
      <c r="T706" s="16" t="n"/>
      <c r="U706" s="15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5" t="n"/>
      <c r="R707" s="15" t="n"/>
      <c r="S707" s="15" t="n"/>
      <c r="T707" s="16" t="n"/>
      <c r="U707" s="15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5" t="n"/>
      <c r="R708" s="15" t="n"/>
      <c r="S708" s="15" t="n"/>
      <c r="T708" s="16" t="n"/>
      <c r="U708" s="15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5" t="n"/>
      <c r="R709" s="15" t="n"/>
      <c r="S709" s="15" t="n"/>
      <c r="T709" s="16" t="n"/>
      <c r="U709" s="15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5" t="n"/>
      <c r="R710" s="15" t="n"/>
      <c r="S710" s="15" t="n"/>
      <c r="T710" s="16" t="n"/>
      <c r="U710" s="15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5" t="n"/>
      <c r="R711" s="15" t="n"/>
      <c r="S711" s="15" t="n"/>
      <c r="T711" s="16" t="n"/>
      <c r="U711" s="15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5" t="n"/>
      <c r="R712" s="15" t="n"/>
      <c r="S712" s="15" t="n"/>
      <c r="T712" s="16" t="n"/>
      <c r="U712" s="15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5" t="n"/>
      <c r="R713" s="15" t="n"/>
      <c r="S713" s="15" t="n"/>
      <c r="T713" s="16" t="n"/>
      <c r="U713" s="15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5" t="n"/>
      <c r="R714" s="15" t="n"/>
      <c r="S714" s="15" t="n"/>
      <c r="T714" s="16" t="n"/>
      <c r="U714" s="15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5" t="n"/>
      <c r="R715" s="15" t="n"/>
      <c r="S715" s="15" t="n"/>
      <c r="T715" s="16" t="n"/>
      <c r="U715" s="15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5" t="n"/>
      <c r="R716" s="15" t="n"/>
      <c r="S716" s="15" t="n"/>
      <c r="T716" s="16" t="n"/>
      <c r="U716" s="15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3" t="n">
        <v>-0.02783422491726906</v>
      </c>
      <c r="R717" s="15" t="n"/>
      <c r="S717" s="15" t="n"/>
      <c r="T717" s="16" t="n"/>
      <c r="U717" s="15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5" t="n"/>
      <c r="R718" s="15" t="n"/>
      <c r="S718" s="15" t="n"/>
      <c r="T718" s="16" t="n"/>
      <c r="U718" s="15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5" t="n"/>
      <c r="R719" s="15" t="n"/>
      <c r="S719" s="15" t="n"/>
      <c r="T719" s="16" t="n"/>
      <c r="U719" s="15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5" t="n"/>
      <c r="R720" s="15" t="n"/>
      <c r="S720" s="15" t="n"/>
      <c r="T720" s="16" t="n"/>
      <c r="U720" s="15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5" t="n"/>
      <c r="R721" s="15" t="n"/>
      <c r="S721" s="15" t="n"/>
      <c r="T721" s="16" t="n"/>
      <c r="U721" s="15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5" t="n"/>
      <c r="R722" s="15" t="n"/>
      <c r="S722" s="15" t="n"/>
      <c r="T722" s="16" t="n"/>
      <c r="U722" s="15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5" t="n"/>
      <c r="R723" s="15" t="n"/>
      <c r="S723" s="15" t="n"/>
      <c r="T723" s="16" t="n"/>
      <c r="U723" s="15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5" t="n"/>
      <c r="R724" s="15" t="n"/>
      <c r="S724" s="15" t="n"/>
      <c r="T724" s="16" t="n"/>
      <c r="U724" s="15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5" t="n"/>
      <c r="R725" s="15" t="n"/>
      <c r="S725" s="15" t="n"/>
      <c r="T725" s="16" t="n"/>
      <c r="U725" s="15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5" t="n"/>
      <c r="R726" s="15" t="n"/>
      <c r="S726" s="15" t="n"/>
      <c r="T726" s="16" t="n"/>
      <c r="U726" s="15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5" t="n"/>
      <c r="R727" s="15" t="n"/>
      <c r="S727" s="15" t="n"/>
      <c r="T727" s="16" t="n"/>
      <c r="U727" s="15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5" t="n"/>
      <c r="R728" s="15" t="n"/>
      <c r="S728" s="15" t="n"/>
      <c r="T728" s="16" t="n"/>
      <c r="U728" s="15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5" t="n"/>
      <c r="R729" s="15" t="n"/>
      <c r="S729" s="15" t="n"/>
      <c r="T729" s="16" t="n"/>
      <c r="U729" s="15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5" t="n"/>
      <c r="R730" s="15" t="n"/>
      <c r="S730" s="15" t="n"/>
      <c r="T730" s="16" t="n"/>
      <c r="U730" s="15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5" t="n"/>
      <c r="R731" s="15" t="n"/>
      <c r="S731" s="15" t="n"/>
      <c r="T731" s="16" t="n"/>
      <c r="U731" s="15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5" t="n"/>
      <c r="R732" s="15" t="n"/>
      <c r="S732" s="15" t="n"/>
      <c r="T732" s="16" t="n"/>
      <c r="U732" s="15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5" t="n"/>
      <c r="R733" s="15" t="n"/>
      <c r="S733" s="15" t="n"/>
      <c r="T733" s="16" t="n"/>
      <c r="U733" s="15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5" t="n"/>
      <c r="R734" s="15" t="n"/>
      <c r="S734" s="15" t="n"/>
      <c r="T734" s="16" t="n"/>
      <c r="U734" s="15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5" t="n"/>
      <c r="R735" s="15" t="n"/>
      <c r="S735" s="15" t="n"/>
      <c r="T735" s="16" t="n"/>
      <c r="U735" s="15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3" t="n">
        <v>-0.02784986251655464</v>
      </c>
      <c r="R736" s="15" t="n"/>
      <c r="S736" s="15" t="n"/>
      <c r="T736" s="16" t="n"/>
      <c r="U736" s="15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5" t="n"/>
      <c r="R737" s="15" t="n"/>
      <c r="S737" s="15" t="n"/>
      <c r="T737" s="16" t="n"/>
      <c r="U737" s="15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5" t="n"/>
      <c r="R738" s="15" t="n"/>
      <c r="S738" s="15" t="n"/>
      <c r="T738" s="16" t="n"/>
      <c r="U738" s="15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5" t="n"/>
      <c r="R739" s="15" t="n"/>
      <c r="S739" s="15" t="n"/>
      <c r="T739" s="16" t="n"/>
      <c r="U739" s="15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5" t="n"/>
      <c r="R740" s="15" t="n"/>
      <c r="S740" s="15" t="n"/>
      <c r="T740" s="16" t="n"/>
      <c r="U740" s="15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5" t="n"/>
      <c r="R741" s="15" t="n"/>
      <c r="S741" s="15" t="n"/>
      <c r="T741" s="16" t="n"/>
      <c r="U741" s="15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5" t="n"/>
      <c r="R742" s="15" t="n"/>
      <c r="S742" s="15" t="n"/>
      <c r="T742" s="16" t="n"/>
      <c r="U742" s="15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5" t="n"/>
      <c r="R743" s="15" t="n"/>
      <c r="S743" s="15" t="n"/>
      <c r="T743" s="16" t="n"/>
      <c r="U743" s="15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5" t="n"/>
      <c r="R744" s="15" t="n"/>
      <c r="S744" s="15" t="n"/>
      <c r="T744" s="16" t="n"/>
      <c r="U744" s="15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5" t="n"/>
      <c r="R745" s="15" t="n"/>
      <c r="S745" s="15" t="n"/>
      <c r="T745" s="16" t="n"/>
      <c r="U745" s="15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5" t="n"/>
      <c r="R746" s="15" t="n"/>
      <c r="S746" s="15" t="n"/>
      <c r="T746" s="16" t="n"/>
      <c r="U746" s="15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5" t="n"/>
      <c r="R747" s="15" t="n"/>
      <c r="S747" s="15" t="n"/>
      <c r="T747" s="16" t="n"/>
      <c r="U747" s="15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5" t="n"/>
      <c r="R748" s="15" t="n"/>
      <c r="S748" s="15" t="n"/>
      <c r="T748" s="16" t="n"/>
      <c r="U748" s="15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5" t="n"/>
      <c r="R749" s="15" t="n"/>
      <c r="S749" s="15" t="n"/>
      <c r="T749" s="16" t="n"/>
      <c r="U749" s="15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5" t="n"/>
      <c r="R750" s="15" t="n"/>
      <c r="S750" s="15" t="n"/>
      <c r="T750" s="16" t="n"/>
      <c r="U750" s="15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5" t="n"/>
      <c r="R751" s="15" t="n"/>
      <c r="S751" s="15" t="n"/>
      <c r="T751" s="16" t="n"/>
      <c r="U751" s="15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5" t="n"/>
      <c r="R752" s="15" t="n"/>
      <c r="S752" s="15" t="n"/>
      <c r="T752" s="16" t="n"/>
      <c r="U752" s="15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5" t="n"/>
      <c r="R753" s="15" t="n"/>
      <c r="S753" s="15" t="n"/>
      <c r="T753" s="16" t="n"/>
      <c r="U753" s="15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5" t="n"/>
      <c r="R754" s="15" t="n"/>
      <c r="S754" s="15" t="n"/>
      <c r="T754" s="16" t="n"/>
      <c r="U754" s="15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5" t="n"/>
      <c r="R755" s="15" t="n"/>
      <c r="S755" s="15" t="n"/>
      <c r="T755" s="16" t="n"/>
      <c r="U755" s="15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5" t="n"/>
      <c r="R756" s="15" t="n"/>
      <c r="S756" s="15" t="n"/>
      <c r="T756" s="16" t="n"/>
      <c r="U756" s="15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5" t="n"/>
      <c r="R757" s="15" t="n"/>
      <c r="S757" s="15" t="n"/>
      <c r="T757" s="16" t="n"/>
      <c r="U757" s="15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5" t="n"/>
      <c r="R758" s="15" t="n"/>
      <c r="S758" s="15" t="n"/>
      <c r="T758" s="16" t="n"/>
      <c r="U758" s="15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3" t="n">
        <v>0.1406633363640679</v>
      </c>
      <c r="R759" s="15" t="n"/>
      <c r="S759" s="15" t="n"/>
      <c r="T759" s="16" t="n"/>
      <c r="U759" s="15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5" t="n"/>
      <c r="R760" s="15" t="n"/>
      <c r="S760" s="15" t="n"/>
      <c r="T760" s="16" t="n"/>
      <c r="U760" s="15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5" t="n"/>
      <c r="R761" s="15" t="n"/>
      <c r="S761" s="15" t="n"/>
      <c r="T761" s="16" t="n"/>
      <c r="U761" s="15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5" t="n"/>
      <c r="R762" s="15" t="n"/>
      <c r="S762" s="15" t="n"/>
      <c r="T762" s="16" t="n"/>
      <c r="U762" s="15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5" t="n"/>
      <c r="R763" s="15" t="n"/>
      <c r="S763" s="15" t="n"/>
      <c r="T763" s="16" t="n"/>
      <c r="U763" s="15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5" t="n"/>
      <c r="R764" s="15" t="n"/>
      <c r="S764" s="15" t="n"/>
      <c r="T764" s="16" t="n"/>
      <c r="U764" s="15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5" t="n"/>
      <c r="R765" s="15" t="n"/>
      <c r="S765" s="15" t="n"/>
      <c r="T765" s="16" t="n"/>
      <c r="U765" s="15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5" t="n"/>
      <c r="R766" s="15" t="n"/>
      <c r="S766" s="15" t="n"/>
      <c r="T766" s="16" t="n"/>
      <c r="U766" s="15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5" t="n"/>
      <c r="R767" s="15" t="n"/>
      <c r="S767" s="15" t="n"/>
      <c r="T767" s="16" t="n"/>
      <c r="U767" s="15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5" t="n"/>
      <c r="R768" s="15" t="n"/>
      <c r="S768" s="15" t="n"/>
      <c r="T768" s="16" t="n"/>
      <c r="U768" s="15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5" t="n"/>
      <c r="R769" s="15" t="n"/>
      <c r="S769" s="15" t="n"/>
      <c r="T769" s="16" t="n"/>
      <c r="U769" s="15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5" t="n"/>
      <c r="R770" s="15" t="n"/>
      <c r="S770" s="15" t="n"/>
      <c r="T770" s="16" t="n"/>
      <c r="U770" s="15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5" t="n"/>
      <c r="R771" s="15" t="n"/>
      <c r="S771" s="15" t="n"/>
      <c r="T771" s="16" t="n"/>
      <c r="U771" s="15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5" t="n"/>
      <c r="R772" s="15" t="n"/>
      <c r="S772" s="15" t="n"/>
      <c r="T772" s="16" t="n"/>
      <c r="U772" s="15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5" t="n"/>
      <c r="R773" s="15" t="n"/>
      <c r="S773" s="15" t="n"/>
      <c r="T773" s="16" t="n"/>
      <c r="U773" s="15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5" t="n"/>
      <c r="R774" s="15" t="n"/>
      <c r="S774" s="15" t="n"/>
      <c r="T774" s="16" t="n"/>
      <c r="U774" s="15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5" t="n"/>
      <c r="R775" s="15" t="n"/>
      <c r="S775" s="15" t="n"/>
      <c r="T775" s="16" t="n"/>
      <c r="U775" s="15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5" t="n"/>
      <c r="R776" s="15" t="n"/>
      <c r="S776" s="15" t="n"/>
      <c r="T776" s="16" t="n"/>
      <c r="U776" s="15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5" t="n"/>
      <c r="R777" s="15" t="n"/>
      <c r="S777" s="15" t="n"/>
      <c r="T777" s="16" t="n"/>
      <c r="U777" s="15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5" t="n"/>
      <c r="R778" s="15" t="n"/>
      <c r="S778" s="15" t="n"/>
      <c r="T778" s="16" t="n"/>
      <c r="U778" s="15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5" t="n"/>
      <c r="R779" s="15" t="n"/>
      <c r="S779" s="15" t="n"/>
      <c r="T779" s="16" t="n"/>
      <c r="U779" s="15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3" t="n">
        <v>0.2334905660377358</v>
      </c>
      <c r="R780" s="15" t="n"/>
      <c r="S780" s="15" t="n"/>
      <c r="T780" s="16" t="n"/>
      <c r="U780" s="15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5" t="n"/>
      <c r="R781" s="15" t="n"/>
      <c r="S781" s="15" t="n"/>
      <c r="T781" s="16" t="n"/>
      <c r="U781" s="15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5" t="n"/>
      <c r="R782" s="15" t="n"/>
      <c r="S782" s="15" t="n"/>
      <c r="T782" s="16" t="n"/>
      <c r="U782" s="15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5" t="n"/>
      <c r="R783" s="15" t="n"/>
      <c r="S783" s="15" t="n"/>
      <c r="T783" s="16" t="n"/>
      <c r="U783" s="15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5" t="n"/>
      <c r="R784" s="15" t="n"/>
      <c r="S784" s="15" t="n"/>
      <c r="T784" s="16" t="n"/>
      <c r="U784" s="15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5" t="n"/>
      <c r="R785" s="15" t="n"/>
      <c r="S785" s="15" t="n"/>
      <c r="T785" s="16" t="n"/>
      <c r="U785" s="15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5" t="n"/>
      <c r="R786" s="15" t="n"/>
      <c r="S786" s="15" t="n"/>
      <c r="T786" s="16" t="n"/>
      <c r="U786" s="15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5" t="n"/>
      <c r="R787" s="15" t="n"/>
      <c r="S787" s="15" t="n"/>
      <c r="T787" s="16" t="n"/>
      <c r="U787" s="15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5" t="n"/>
      <c r="R788" s="15" t="n"/>
      <c r="S788" s="15" t="n"/>
      <c r="T788" s="16" t="n"/>
      <c r="U788" s="15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5" t="n"/>
      <c r="R789" s="15" t="n"/>
      <c r="S789" s="15" t="n"/>
      <c r="T789" s="16" t="n"/>
      <c r="U789" s="15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5" t="n"/>
      <c r="R790" s="15" t="n"/>
      <c r="S790" s="15" t="n"/>
      <c r="T790" s="16" t="n"/>
      <c r="U790" s="15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5" t="n"/>
      <c r="R791" s="15" t="n"/>
      <c r="S791" s="15" t="n"/>
      <c r="T791" s="16" t="n"/>
      <c r="U791" s="15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5" t="n"/>
      <c r="R792" s="15" t="n"/>
      <c r="S792" s="15" t="n"/>
      <c r="T792" s="16" t="n"/>
      <c r="U792" s="15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5" t="n"/>
      <c r="R793" s="15" t="n"/>
      <c r="S793" s="15" t="n"/>
      <c r="T793" s="16" t="n"/>
      <c r="U793" s="15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5" t="n"/>
      <c r="R794" s="15" t="n"/>
      <c r="S794" s="15" t="n"/>
      <c r="T794" s="16" t="n"/>
      <c r="U794" s="15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5" t="n"/>
      <c r="R795" s="15" t="n"/>
      <c r="S795" s="15" t="n"/>
      <c r="T795" s="16" t="n"/>
      <c r="U795" s="15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5" t="n"/>
      <c r="R796" s="15" t="n"/>
      <c r="S796" s="15" t="n"/>
      <c r="T796" s="16" t="n"/>
      <c r="U796" s="15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5" t="n"/>
      <c r="R797" s="15" t="n"/>
      <c r="S797" s="15" t="n"/>
      <c r="T797" s="16" t="n"/>
      <c r="U797" s="15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5" t="n"/>
      <c r="R798" s="15" t="n"/>
      <c r="S798" s="15" t="n"/>
      <c r="T798" s="16" t="n"/>
      <c r="U798" s="15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5" t="n"/>
      <c r="R799" s="15" t="n"/>
      <c r="S799" s="15" t="n"/>
      <c r="T799" s="16" t="n"/>
      <c r="U799" s="15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5" t="n"/>
      <c r="R800" s="15" t="n"/>
      <c r="S800" s="15" t="n"/>
      <c r="T800" s="16" t="n"/>
      <c r="U800" s="15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5" t="n"/>
      <c r="R801" s="15" t="n"/>
      <c r="S801" s="15" t="n"/>
      <c r="T801" s="16" t="n"/>
      <c r="U801" s="15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3" t="n">
        <v>-0.0207852193995377</v>
      </c>
      <c r="R802" s="15" t="n"/>
      <c r="S802" s="15" t="n"/>
      <c r="T802" s="16" t="n"/>
      <c r="U802" s="15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5" t="n"/>
      <c r="R803" s="15" t="n"/>
      <c r="S803" s="15" t="n"/>
      <c r="T803" s="16" t="n"/>
      <c r="U803" s="15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5" t="n"/>
      <c r="R804" s="15" t="n"/>
      <c r="S804" s="15" t="n"/>
      <c r="T804" s="16" t="n"/>
      <c r="U804" s="15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5" t="n"/>
      <c r="R805" s="15" t="n"/>
      <c r="S805" s="15" t="n"/>
      <c r="T805" s="16" t="n"/>
      <c r="U805" s="15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5" t="n"/>
      <c r="R806" s="15" t="n"/>
      <c r="S806" s="15" t="n"/>
      <c r="T806" s="16" t="n"/>
      <c r="U806" s="15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5" t="n"/>
      <c r="R807" s="15" t="n"/>
      <c r="S807" s="15" t="n"/>
      <c r="T807" s="16" t="n"/>
      <c r="U807" s="15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5" t="n"/>
      <c r="R808" s="15" t="n"/>
      <c r="S808" s="15" t="n"/>
      <c r="T808" s="16" t="n"/>
      <c r="U808" s="15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5" t="n"/>
      <c r="R809" s="15" t="n"/>
      <c r="S809" s="15" t="n"/>
      <c r="T809" s="16" t="n"/>
      <c r="U809" s="15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5" t="n"/>
      <c r="R810" s="15" t="n"/>
      <c r="S810" s="15" t="n"/>
      <c r="T810" s="16" t="n"/>
      <c r="U810" s="15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5" t="n"/>
      <c r="R811" s="15" t="n"/>
      <c r="S811" s="15" t="n"/>
      <c r="T811" s="16" t="n"/>
      <c r="U811" s="15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5" t="n"/>
      <c r="R812" s="15" t="n"/>
      <c r="S812" s="15" t="n"/>
      <c r="T812" s="16" t="n"/>
      <c r="U812" s="15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5" t="n"/>
      <c r="R813" s="15" t="n"/>
      <c r="S813" s="15" t="n"/>
      <c r="T813" s="16" t="n"/>
      <c r="U813" s="15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5" t="n"/>
      <c r="R814" s="15" t="n"/>
      <c r="S814" s="15" t="n"/>
      <c r="T814" s="16" t="n"/>
      <c r="U814" s="15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5" t="n"/>
      <c r="R815" s="15" t="n"/>
      <c r="S815" s="15" t="n"/>
      <c r="T815" s="16" t="n"/>
      <c r="U815" s="15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5" t="n"/>
      <c r="R816" s="15" t="n"/>
      <c r="S816" s="15" t="n"/>
      <c r="T816" s="16" t="n"/>
      <c r="U816" s="15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5" t="n"/>
      <c r="R817" s="15" t="n"/>
      <c r="S817" s="15" t="n"/>
      <c r="T817" s="16" t="n"/>
      <c r="U817" s="15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5" t="n"/>
      <c r="R818" s="15" t="n"/>
      <c r="S818" s="15" t="n"/>
      <c r="T818" s="16" t="n"/>
      <c r="U818" s="15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5" t="n"/>
      <c r="R819" s="15" t="n"/>
      <c r="S819" s="15" t="n"/>
      <c r="T819" s="16" t="n"/>
      <c r="U819" s="15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5" t="n"/>
      <c r="R820" s="15" t="n"/>
      <c r="S820" s="15" t="n"/>
      <c r="T820" s="16" t="n"/>
      <c r="U820" s="15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5" t="n"/>
      <c r="R821" s="15" t="n"/>
      <c r="S821" s="15" t="n"/>
      <c r="T821" s="16" t="n"/>
      <c r="U821" s="15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3" t="n">
        <v>0.04086538461538414</v>
      </c>
      <c r="R822" s="15" t="n"/>
      <c r="S822" s="15" t="n"/>
      <c r="T822" s="16" t="n"/>
      <c r="U822" s="15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5" t="n"/>
      <c r="R823" s="15" t="n"/>
      <c r="S823" s="15" t="n"/>
      <c r="T823" s="16" t="n"/>
      <c r="U823" s="15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5" t="n"/>
      <c r="R824" s="15" t="n"/>
      <c r="S824" s="15" t="n"/>
      <c r="T824" s="16" t="n"/>
      <c r="U824" s="15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5" t="n"/>
      <c r="R825" s="15" t="n"/>
      <c r="S825" s="15" t="n"/>
      <c r="T825" s="16" t="n"/>
      <c r="U825" s="15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5" t="n"/>
      <c r="R826" s="15" t="n"/>
      <c r="S826" s="15" t="n"/>
      <c r="T826" s="16" t="n"/>
      <c r="U826" s="15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5" t="n"/>
      <c r="R827" s="15" t="n"/>
      <c r="S827" s="15" t="n"/>
      <c r="T827" s="16" t="n"/>
      <c r="U827" s="15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5" t="n"/>
      <c r="R828" s="15" t="n"/>
      <c r="S828" s="15" t="n"/>
      <c r="T828" s="16" t="n"/>
      <c r="U828" s="15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5" t="n"/>
      <c r="R830" s="15" t="n"/>
      <c r="S830" s="15" t="n"/>
      <c r="T830" s="16" t="n"/>
      <c r="U830" s="15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5" t="n"/>
      <c r="R831" s="15" t="n"/>
      <c r="S831" s="15" t="n"/>
      <c r="T831" s="16" t="n"/>
      <c r="U831" s="15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5" t="n"/>
      <c r="R833" s="15" t="n"/>
      <c r="S833" s="15" t="n"/>
      <c r="T833" s="16" t="n"/>
      <c r="U833" s="15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5" t="n"/>
      <c r="R834" s="15" t="n"/>
      <c r="S834" s="15" t="n"/>
      <c r="T834" s="16" t="n"/>
      <c r="U834" s="15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5" t="n"/>
      <c r="R835" s="15" t="n"/>
      <c r="S835" s="15" t="n"/>
      <c r="T835" s="16" t="n"/>
      <c r="U835" s="15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5" t="n"/>
      <c r="R836" s="15" t="n"/>
      <c r="S836" s="15" t="n"/>
      <c r="T836" s="16" t="n"/>
      <c r="U836" s="15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5" t="n"/>
      <c r="R837" s="15" t="n"/>
      <c r="S837" s="15" t="n"/>
      <c r="T837" s="16" t="n"/>
      <c r="U837" s="15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5" t="n"/>
      <c r="R838" s="15" t="n"/>
      <c r="S838" s="15" t="n"/>
      <c r="T838" s="16" t="n"/>
      <c r="U838" s="15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5" t="n"/>
      <c r="R840" s="15" t="n"/>
      <c r="S840" s="15" t="n"/>
      <c r="T840" s="16" t="n"/>
      <c r="U840" s="15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2:U152"/>
    <mergeCell ref="T902:T978"/>
    <mergeCell ref="U402:U651"/>
    <mergeCell ref="Q802:Q821"/>
    <mergeCell ref="Q11:Q33"/>
    <mergeCell ref="Q324:Q343"/>
    <mergeCell ref="Q902:Q923"/>
    <mergeCell ref="Q153:Q175"/>
    <mergeCell ref="R402:R651"/>
    <mergeCell ref="S902:S978"/>
    <mergeCell ref="Q967:Q978"/>
    <mergeCell ref="Q196:Q218"/>
    <mergeCell ref="T402:T651"/>
    <mergeCell ref="Q717:Q735"/>
    <mergeCell ref="Q176:Q195"/>
    <mergeCell ref="Q614:Q629"/>
    <mergeCell ref="Q924:Q945"/>
    <mergeCell ref="Q780:Q801"/>
    <mergeCell ref="T153:T401"/>
    <mergeCell ref="Q283:Q303"/>
    <mergeCell ref="Q34:Q55"/>
    <mergeCell ref="Q574:Q592"/>
    <mergeCell ref="Q239:Q259"/>
    <mergeCell ref="Q552:Q573"/>
    <mergeCell ref="S2:S152"/>
    <mergeCell ref="Q468:Q486"/>
    <mergeCell ref="Q118:Q132"/>
    <mergeCell ref="Q946:Q966"/>
    <mergeCell ref="Q652:Q672"/>
    <mergeCell ref="Q424:Q444"/>
    <mergeCell ref="R652:R901"/>
    <mergeCell ref="Q822:Q842"/>
    <mergeCell ref="Q866:Q885"/>
    <mergeCell ref="Q402:Q423"/>
    <mergeCell ref="Q673:Q694"/>
    <mergeCell ref="Q593:Q613"/>
    <mergeCell ref="Q260:Q282"/>
    <mergeCell ref="Q2:Q10"/>
    <mergeCell ref="Q886:Q901"/>
    <mergeCell ref="T652:T901"/>
    <mergeCell ref="Q532:Q551"/>
    <mergeCell ref="Q219:Q238"/>
    <mergeCell ref="Q759:Q779"/>
    <mergeCell ref="S153:S401"/>
    <mergeCell ref="Q344:Q364"/>
    <mergeCell ref="Q630:Q651"/>
    <mergeCell ref="S402:S651"/>
    <mergeCell ref="U153:U401"/>
    <mergeCell ref="Q365:Q384"/>
    <mergeCell ref="Q76:Q95"/>
    <mergeCell ref="T2:T152"/>
    <mergeCell ref="U902:U978"/>
    <mergeCell ref="S652:S901"/>
    <mergeCell ref="Q445:Q467"/>
    <mergeCell ref="Q133:Q152"/>
    <mergeCell ref="Q56:Q75"/>
    <mergeCell ref="Q843:Q865"/>
    <mergeCell ref="Q304:Q323"/>
    <mergeCell ref="R902:R978"/>
    <mergeCell ref="Q96:Q117"/>
    <mergeCell ref="Q385:Q401"/>
    <mergeCell ref="R153:R401"/>
    <mergeCell ref="Q509:Q531"/>
    <mergeCell ref="Q736:Q758"/>
    <mergeCell ref="U652:U901"/>
    <mergeCell ref="Q695:Q716"/>
    <mergeCell ref="Q487:Q508"/>
    <mergeCell ref="R2:R1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2026-08-13T13:46:52Z</dcterms:created>
  <dcterms:modified xsi:type="dcterms:W3CDTF">2026-08-13T13:46:53Z</dcterms:modified>
</cp:coreProperties>
</file>